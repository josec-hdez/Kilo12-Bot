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Escritorio\"/>
    </mc:Choice>
  </mc:AlternateContent>
  <xr:revisionPtr revIDLastSave="0" documentId="13_ncr:1_{974CD3E8-E1B8-4FA0-A99B-B6B7B5D65CF2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Hoja1" sheetId="1" r:id="rId1"/>
    <sheet name="30 sep" sheetId="2" r:id="rId2"/>
    <sheet name="IPV Alf. 30 sep" sheetId="4" r:id="rId3"/>
    <sheet name="1 oct" sheetId="5" r:id="rId4"/>
    <sheet name="2 oct " sheetId="8" r:id="rId5"/>
    <sheet name="3 oct" sheetId="9" r:id="rId6"/>
    <sheet name="4 oct" sheetId="10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0" l="1"/>
  <c r="F3" i="10"/>
  <c r="H3" i="10" s="1"/>
  <c r="F4" i="10"/>
  <c r="H4" i="10" s="1"/>
  <c r="F5" i="10"/>
  <c r="H5" i="10" s="1"/>
  <c r="F6" i="10"/>
  <c r="H6" i="10" s="1"/>
  <c r="F7" i="10"/>
  <c r="H7" i="10" s="1"/>
  <c r="F8" i="10"/>
  <c r="H8" i="10" s="1"/>
  <c r="F9" i="10"/>
  <c r="H9" i="10" s="1"/>
  <c r="F10" i="10"/>
  <c r="H10" i="10" s="1"/>
  <c r="F12" i="10"/>
  <c r="F13" i="10"/>
  <c r="H13" i="10" s="1"/>
  <c r="F14" i="10"/>
  <c r="H14" i="10" s="1"/>
  <c r="F15" i="10"/>
  <c r="H15" i="10" s="1"/>
  <c r="F16" i="10"/>
  <c r="H16" i="10" s="1"/>
  <c r="F17" i="10"/>
  <c r="H17" i="10" s="1"/>
  <c r="F18" i="10"/>
  <c r="H18" i="10" s="1"/>
  <c r="F19" i="10"/>
  <c r="H19" i="10" s="1"/>
  <c r="F20" i="10"/>
  <c r="H20" i="10" s="1"/>
  <c r="F21" i="10"/>
  <c r="H21" i="10" s="1"/>
  <c r="F22" i="10"/>
  <c r="H22" i="10" s="1"/>
  <c r="F23" i="10"/>
  <c r="H23" i="10" s="1"/>
  <c r="F24" i="10"/>
  <c r="F25" i="10"/>
  <c r="H25" i="10" s="1"/>
  <c r="F26" i="10"/>
  <c r="H26" i="10" s="1"/>
  <c r="F27" i="10"/>
  <c r="H27" i="10" s="1"/>
  <c r="F28" i="10"/>
  <c r="H28" i="10" s="1"/>
  <c r="F29" i="10"/>
  <c r="H29" i="10" s="1"/>
  <c r="F30" i="10"/>
  <c r="H30" i="10" s="1"/>
  <c r="F31" i="10"/>
  <c r="H31" i="10" s="1"/>
  <c r="F32" i="10"/>
  <c r="F33" i="10"/>
  <c r="H33" i="10" s="1"/>
  <c r="F34" i="10"/>
  <c r="H34" i="10" s="1"/>
  <c r="F35" i="10"/>
  <c r="H35" i="10" s="1"/>
  <c r="F36" i="10"/>
  <c r="F37" i="10"/>
  <c r="H37" i="10" s="1"/>
  <c r="F38" i="10"/>
  <c r="H38" i="10" s="1"/>
  <c r="F39" i="10"/>
  <c r="H39" i="10" s="1"/>
  <c r="F40" i="10"/>
  <c r="H40" i="10" s="1"/>
  <c r="F41" i="10"/>
  <c r="F42" i="10"/>
  <c r="H42" i="10" s="1"/>
  <c r="F43" i="10"/>
  <c r="H43" i="10" s="1"/>
  <c r="F44" i="10"/>
  <c r="H44" i="10" s="1"/>
  <c r="F45" i="10"/>
  <c r="H45" i="10" s="1"/>
  <c r="F46" i="10"/>
  <c r="H46" i="10" s="1"/>
  <c r="F47" i="10"/>
  <c r="H47" i="10" s="1"/>
  <c r="F48" i="10"/>
  <c r="H48" i="10" s="1"/>
  <c r="F49" i="10"/>
  <c r="H49" i="10" s="1"/>
  <c r="F50" i="10"/>
  <c r="H50" i="10" s="1"/>
  <c r="F51" i="10"/>
  <c r="H51" i="10" s="1"/>
  <c r="F52" i="10"/>
  <c r="H52" i="10" s="1"/>
  <c r="F53" i="10"/>
  <c r="H53" i="10" s="1"/>
  <c r="F54" i="10"/>
  <c r="H54" i="10" s="1"/>
  <c r="F55" i="10"/>
  <c r="H55" i="10" s="1"/>
  <c r="F56" i="10"/>
  <c r="H56" i="10" s="1"/>
  <c r="F57" i="10"/>
  <c r="H57" i="10" s="1"/>
  <c r="F58" i="10"/>
  <c r="H58" i="10" s="1"/>
  <c r="F59" i="10"/>
  <c r="H59" i="10" s="1"/>
  <c r="F60" i="10"/>
  <c r="H60" i="10" s="1"/>
  <c r="F61" i="10"/>
  <c r="H61" i="10" s="1"/>
  <c r="F62" i="10"/>
  <c r="H62" i="10" s="1"/>
  <c r="F63" i="10"/>
  <c r="H63" i="10" s="1"/>
  <c r="F64" i="10"/>
  <c r="H64" i="10" s="1"/>
  <c r="F65" i="10"/>
  <c r="H65" i="10" s="1"/>
  <c r="F66" i="10"/>
  <c r="H66" i="10" s="1"/>
  <c r="F67" i="10"/>
  <c r="H67" i="10" s="1"/>
  <c r="F68" i="10"/>
  <c r="F69" i="10"/>
  <c r="H69" i="10" s="1"/>
  <c r="F70" i="10"/>
  <c r="H70" i="10" s="1"/>
  <c r="F71" i="10"/>
  <c r="H71" i="10" s="1"/>
  <c r="F72" i="10"/>
  <c r="H72" i="10" s="1"/>
  <c r="F73" i="10"/>
  <c r="H73" i="10" s="1"/>
  <c r="F74" i="10"/>
  <c r="H74" i="10" s="1"/>
  <c r="F75" i="10"/>
  <c r="H75" i="10" s="1"/>
  <c r="F76" i="10"/>
  <c r="H76" i="10" s="1"/>
  <c r="F77" i="10"/>
  <c r="H77" i="10" s="1"/>
  <c r="F78" i="10"/>
  <c r="H78" i="10" s="1"/>
  <c r="F79" i="10"/>
  <c r="H79" i="10" s="1"/>
  <c r="F80" i="10"/>
  <c r="F81" i="10"/>
  <c r="H81" i="10" s="1"/>
  <c r="F82" i="10"/>
  <c r="H82" i="10" s="1"/>
  <c r="F83" i="10"/>
  <c r="H83" i="10" s="1"/>
  <c r="F84" i="10"/>
  <c r="F85" i="10"/>
  <c r="H85" i="10" s="1"/>
  <c r="F86" i="10"/>
  <c r="H86" i="10" s="1"/>
  <c r="F87" i="10"/>
  <c r="H87" i="10" s="1"/>
  <c r="F88" i="10"/>
  <c r="H88" i="10" s="1"/>
  <c r="F89" i="10"/>
  <c r="H89" i="10" s="1"/>
  <c r="F90" i="10"/>
  <c r="H90" i="10" s="1"/>
  <c r="F91" i="10"/>
  <c r="H91" i="10" s="1"/>
  <c r="F92" i="10"/>
  <c r="H92" i="10" s="1"/>
  <c r="F93" i="10"/>
  <c r="H93" i="10" s="1"/>
  <c r="F94" i="10"/>
  <c r="H94" i="10" s="1"/>
  <c r="F95" i="10"/>
  <c r="H95" i="10" s="1"/>
  <c r="F96" i="10"/>
  <c r="H96" i="10" s="1"/>
  <c r="F97" i="10"/>
  <c r="H97" i="10" s="1"/>
  <c r="F98" i="10"/>
  <c r="H98" i="10" s="1"/>
  <c r="F99" i="10"/>
  <c r="H99" i="10" s="1"/>
  <c r="F100" i="10"/>
  <c r="H100" i="10" s="1"/>
  <c r="F101" i="10"/>
  <c r="H101" i="10" s="1"/>
  <c r="F102" i="10"/>
  <c r="H102" i="10" s="1"/>
  <c r="F103" i="10"/>
  <c r="H103" i="10" s="1"/>
  <c r="F104" i="10"/>
  <c r="F105" i="10"/>
  <c r="H105" i="10" s="1"/>
  <c r="F106" i="10"/>
  <c r="H106" i="10" s="1"/>
  <c r="F107" i="10"/>
  <c r="H107" i="10" s="1"/>
  <c r="F108" i="10"/>
  <c r="H108" i="10" s="1"/>
  <c r="F109" i="10"/>
  <c r="H109" i="10" s="1"/>
  <c r="F110" i="10"/>
  <c r="H110" i="10" s="1"/>
  <c r="F111" i="10"/>
  <c r="H111" i="10" s="1"/>
  <c r="H104" i="10"/>
  <c r="H84" i="10"/>
  <c r="H80" i="10"/>
  <c r="H68" i="10"/>
  <c r="H41" i="10"/>
  <c r="H36" i="10"/>
  <c r="H32" i="10"/>
  <c r="H24" i="10"/>
  <c r="H12" i="10"/>
  <c r="F93" i="9"/>
  <c r="H93" i="9" s="1"/>
  <c r="C92" i="9"/>
  <c r="F50" i="9"/>
  <c r="H50" i="9" s="1"/>
  <c r="F62" i="9"/>
  <c r="H62" i="9" s="1"/>
  <c r="F110" i="9"/>
  <c r="H110" i="9" s="1"/>
  <c r="F109" i="9"/>
  <c r="H109" i="9" s="1"/>
  <c r="F108" i="9"/>
  <c r="H108" i="9" s="1"/>
  <c r="F107" i="9"/>
  <c r="H107" i="9" s="1"/>
  <c r="F106" i="9"/>
  <c r="H106" i="9" s="1"/>
  <c r="F105" i="9"/>
  <c r="H105" i="9" s="1"/>
  <c r="F104" i="9"/>
  <c r="H104" i="9" s="1"/>
  <c r="F103" i="9"/>
  <c r="H103" i="9" s="1"/>
  <c r="F102" i="9"/>
  <c r="H102" i="9" s="1"/>
  <c r="F101" i="9"/>
  <c r="H101" i="9" s="1"/>
  <c r="F100" i="9"/>
  <c r="H100" i="9" s="1"/>
  <c r="F99" i="9"/>
  <c r="H99" i="9" s="1"/>
  <c r="F98" i="9"/>
  <c r="H98" i="9" s="1"/>
  <c r="F97" i="9"/>
  <c r="H97" i="9" s="1"/>
  <c r="F96" i="9"/>
  <c r="H96" i="9" s="1"/>
  <c r="F95" i="9"/>
  <c r="H95" i="9" s="1"/>
  <c r="F94" i="9"/>
  <c r="H94" i="9" s="1"/>
  <c r="F92" i="9"/>
  <c r="H92" i="9" s="1"/>
  <c r="F91" i="9"/>
  <c r="H91" i="9" s="1"/>
  <c r="F90" i="9"/>
  <c r="H90" i="9" s="1"/>
  <c r="F89" i="9"/>
  <c r="H89" i="9" s="1"/>
  <c r="F88" i="9"/>
  <c r="H88" i="9" s="1"/>
  <c r="F87" i="9"/>
  <c r="H87" i="9" s="1"/>
  <c r="F86" i="9"/>
  <c r="H86" i="9" s="1"/>
  <c r="F85" i="9"/>
  <c r="H85" i="9" s="1"/>
  <c r="F84" i="9"/>
  <c r="H84" i="9" s="1"/>
  <c r="F83" i="9"/>
  <c r="H83" i="9" s="1"/>
  <c r="F82" i="9"/>
  <c r="H82" i="9" s="1"/>
  <c r="F81" i="9"/>
  <c r="H81" i="9" s="1"/>
  <c r="F80" i="9"/>
  <c r="H80" i="9" s="1"/>
  <c r="F79" i="9"/>
  <c r="H79" i="9" s="1"/>
  <c r="F78" i="9"/>
  <c r="H78" i="9" s="1"/>
  <c r="F77" i="9"/>
  <c r="H77" i="9" s="1"/>
  <c r="F76" i="9"/>
  <c r="H76" i="9" s="1"/>
  <c r="F75" i="9"/>
  <c r="H75" i="9" s="1"/>
  <c r="F74" i="9"/>
  <c r="H74" i="9" s="1"/>
  <c r="F73" i="9"/>
  <c r="H73" i="9" s="1"/>
  <c r="F72" i="9"/>
  <c r="H72" i="9" s="1"/>
  <c r="F71" i="9"/>
  <c r="H71" i="9" s="1"/>
  <c r="F70" i="9"/>
  <c r="H70" i="9" s="1"/>
  <c r="F69" i="9"/>
  <c r="H69" i="9" s="1"/>
  <c r="F68" i="9"/>
  <c r="H68" i="9" s="1"/>
  <c r="F67" i="9"/>
  <c r="H67" i="9" s="1"/>
  <c r="F66" i="9"/>
  <c r="H66" i="9" s="1"/>
  <c r="F65" i="9"/>
  <c r="H65" i="9" s="1"/>
  <c r="F64" i="9"/>
  <c r="H64" i="9" s="1"/>
  <c r="F63" i="9"/>
  <c r="H63" i="9" s="1"/>
  <c r="F61" i="9"/>
  <c r="H61" i="9" s="1"/>
  <c r="F60" i="9"/>
  <c r="H60" i="9" s="1"/>
  <c r="F59" i="9"/>
  <c r="H59" i="9" s="1"/>
  <c r="F58" i="9"/>
  <c r="H58" i="9" s="1"/>
  <c r="F57" i="9"/>
  <c r="H57" i="9" s="1"/>
  <c r="F56" i="9"/>
  <c r="H56" i="9" s="1"/>
  <c r="F55" i="9"/>
  <c r="H55" i="9" s="1"/>
  <c r="F54" i="9"/>
  <c r="H54" i="9" s="1"/>
  <c r="H53" i="9"/>
  <c r="F53" i="9"/>
  <c r="F52" i="9"/>
  <c r="H52" i="9" s="1"/>
  <c r="F51" i="9"/>
  <c r="H51" i="9" s="1"/>
  <c r="F49" i="9"/>
  <c r="H49" i="9" s="1"/>
  <c r="F48" i="9"/>
  <c r="H48" i="9" s="1"/>
  <c r="F47" i="9"/>
  <c r="H47" i="9" s="1"/>
  <c r="F46" i="9"/>
  <c r="H46" i="9" s="1"/>
  <c r="F45" i="9"/>
  <c r="H45" i="9" s="1"/>
  <c r="F44" i="9"/>
  <c r="H44" i="9" s="1"/>
  <c r="F43" i="9"/>
  <c r="H43" i="9" s="1"/>
  <c r="F42" i="9"/>
  <c r="H42" i="9" s="1"/>
  <c r="F41" i="9"/>
  <c r="H41" i="9" s="1"/>
  <c r="F40" i="9"/>
  <c r="H40" i="9" s="1"/>
  <c r="F39" i="9"/>
  <c r="H39" i="9" s="1"/>
  <c r="F38" i="9"/>
  <c r="H38" i="9" s="1"/>
  <c r="F37" i="9"/>
  <c r="H37" i="9" s="1"/>
  <c r="F36" i="9"/>
  <c r="H36" i="9" s="1"/>
  <c r="F35" i="9"/>
  <c r="H35" i="9" s="1"/>
  <c r="F34" i="9"/>
  <c r="H34" i="9" s="1"/>
  <c r="F33" i="9"/>
  <c r="H33" i="9" s="1"/>
  <c r="F32" i="9"/>
  <c r="H32" i="9" s="1"/>
  <c r="F31" i="9"/>
  <c r="H31" i="9" s="1"/>
  <c r="F30" i="9"/>
  <c r="H30" i="9" s="1"/>
  <c r="F29" i="9"/>
  <c r="H29" i="9" s="1"/>
  <c r="F28" i="9"/>
  <c r="H28" i="9" s="1"/>
  <c r="F27" i="9"/>
  <c r="H27" i="9" s="1"/>
  <c r="F26" i="9"/>
  <c r="H26" i="9" s="1"/>
  <c r="F25" i="9"/>
  <c r="H25" i="9" s="1"/>
  <c r="H24" i="9"/>
  <c r="F24" i="9"/>
  <c r="F23" i="9"/>
  <c r="H23" i="9" s="1"/>
  <c r="F22" i="9"/>
  <c r="H22" i="9" s="1"/>
  <c r="F21" i="9"/>
  <c r="H21" i="9" s="1"/>
  <c r="F20" i="9"/>
  <c r="H20" i="9" s="1"/>
  <c r="F19" i="9"/>
  <c r="H19" i="9" s="1"/>
  <c r="F18" i="9"/>
  <c r="H18" i="9" s="1"/>
  <c r="F17" i="9"/>
  <c r="H17" i="9" s="1"/>
  <c r="F16" i="9"/>
  <c r="H16" i="9" s="1"/>
  <c r="F15" i="9"/>
  <c r="H15" i="9" s="1"/>
  <c r="F14" i="9"/>
  <c r="H14" i="9" s="1"/>
  <c r="F13" i="9"/>
  <c r="H13" i="9" s="1"/>
  <c r="F12" i="9"/>
  <c r="H12" i="9" s="1"/>
  <c r="F11" i="9"/>
  <c r="H11" i="9" s="1"/>
  <c r="F10" i="9"/>
  <c r="H10" i="9" s="1"/>
  <c r="F9" i="9"/>
  <c r="H9" i="9" s="1"/>
  <c r="F8" i="9"/>
  <c r="H8" i="9" s="1"/>
  <c r="F7" i="9"/>
  <c r="H7" i="9" s="1"/>
  <c r="F6" i="9"/>
  <c r="H6" i="9" s="1"/>
  <c r="F5" i="9"/>
  <c r="H5" i="9" s="1"/>
  <c r="F4" i="9"/>
  <c r="H4" i="9" s="1"/>
  <c r="F3" i="9"/>
  <c r="H3" i="9" s="1"/>
  <c r="F91" i="8"/>
  <c r="F4" i="8"/>
  <c r="F5" i="8"/>
  <c r="H5" i="8" s="1"/>
  <c r="F6" i="8"/>
  <c r="F7" i="8"/>
  <c r="F8" i="8"/>
  <c r="F9" i="8"/>
  <c r="F10" i="8"/>
  <c r="F11" i="8"/>
  <c r="H11" i="8" s="1"/>
  <c r="F12" i="8"/>
  <c r="F13" i="8"/>
  <c r="F14" i="8"/>
  <c r="F15" i="8"/>
  <c r="H15" i="8" s="1"/>
  <c r="F16" i="8"/>
  <c r="F17" i="8"/>
  <c r="F18" i="8"/>
  <c r="F19" i="8"/>
  <c r="F20" i="8"/>
  <c r="F21" i="8"/>
  <c r="F22" i="8"/>
  <c r="F23" i="8"/>
  <c r="H23" i="8" s="1"/>
  <c r="F24" i="8"/>
  <c r="F25" i="8"/>
  <c r="F26" i="8"/>
  <c r="F27" i="8"/>
  <c r="H27" i="8" s="1"/>
  <c r="F28" i="8"/>
  <c r="F29" i="8"/>
  <c r="F30" i="8"/>
  <c r="F31" i="8"/>
  <c r="H31" i="8" s="1"/>
  <c r="F32" i="8"/>
  <c r="F33" i="8"/>
  <c r="F34" i="8"/>
  <c r="F35" i="8"/>
  <c r="H35" i="8" s="1"/>
  <c r="F36" i="8"/>
  <c r="F37" i="8"/>
  <c r="F38" i="8"/>
  <c r="H38" i="8" s="1"/>
  <c r="F39" i="8"/>
  <c r="F40" i="8"/>
  <c r="F41" i="8"/>
  <c r="F42" i="8"/>
  <c r="H42" i="8" s="1"/>
  <c r="F43" i="8"/>
  <c r="F44" i="8"/>
  <c r="F45" i="8"/>
  <c r="F46" i="8"/>
  <c r="H46" i="8" s="1"/>
  <c r="F47" i="8"/>
  <c r="F48" i="8"/>
  <c r="F49" i="8"/>
  <c r="F50" i="8"/>
  <c r="F51" i="8"/>
  <c r="H51" i="8" s="1"/>
  <c r="F52" i="8"/>
  <c r="F53" i="8"/>
  <c r="H53" i="8" s="1"/>
  <c r="F54" i="8"/>
  <c r="F55" i="8"/>
  <c r="F56" i="8"/>
  <c r="F57" i="8"/>
  <c r="H57" i="8" s="1"/>
  <c r="F58" i="8"/>
  <c r="F59" i="8"/>
  <c r="F60" i="8"/>
  <c r="H60" i="8" s="1"/>
  <c r="F61" i="8"/>
  <c r="H61" i="8" s="1"/>
  <c r="F62" i="8"/>
  <c r="H62" i="8" s="1"/>
  <c r="F63" i="8"/>
  <c r="H63" i="8" s="1"/>
  <c r="F64" i="8"/>
  <c r="H64" i="8" s="1"/>
  <c r="F65" i="8"/>
  <c r="H65" i="8" s="1"/>
  <c r="F66" i="8"/>
  <c r="H66" i="8" s="1"/>
  <c r="F67" i="8"/>
  <c r="F68" i="8"/>
  <c r="H68" i="8" s="1"/>
  <c r="F69" i="8"/>
  <c r="H69" i="8" s="1"/>
  <c r="F70" i="8"/>
  <c r="H70" i="8" s="1"/>
  <c r="F71" i="8"/>
  <c r="F72" i="8"/>
  <c r="F73" i="8"/>
  <c r="H73" i="8" s="1"/>
  <c r="F74" i="8"/>
  <c r="F75" i="8"/>
  <c r="H75" i="8" s="1"/>
  <c r="F76" i="8"/>
  <c r="F77" i="8"/>
  <c r="F78" i="8"/>
  <c r="H78" i="8" s="1"/>
  <c r="F79" i="8"/>
  <c r="F80" i="8"/>
  <c r="H80" i="8" s="1"/>
  <c r="F81" i="8"/>
  <c r="F82" i="8"/>
  <c r="F83" i="8"/>
  <c r="H83" i="8" s="1"/>
  <c r="F84" i="8"/>
  <c r="H84" i="8" s="1"/>
  <c r="F85" i="8"/>
  <c r="F86" i="8"/>
  <c r="H86" i="8" s="1"/>
  <c r="F87" i="8"/>
  <c r="F88" i="8"/>
  <c r="H88" i="8" s="1"/>
  <c r="F89" i="8"/>
  <c r="F90" i="8"/>
  <c r="H91" i="8"/>
  <c r="F92" i="8"/>
  <c r="H92" i="8" s="1"/>
  <c r="F93" i="8"/>
  <c r="F94" i="8"/>
  <c r="F95" i="8"/>
  <c r="F96" i="8"/>
  <c r="F97" i="8"/>
  <c r="H97" i="8" s="1"/>
  <c r="F98" i="8"/>
  <c r="F99" i="8"/>
  <c r="H99" i="8" s="1"/>
  <c r="F100" i="8"/>
  <c r="F101" i="8"/>
  <c r="H101" i="8" s="1"/>
  <c r="F102" i="8"/>
  <c r="F103" i="8"/>
  <c r="H103" i="8" s="1"/>
  <c r="F104" i="8"/>
  <c r="F105" i="8"/>
  <c r="H105" i="8" s="1"/>
  <c r="F106" i="8"/>
  <c r="F107" i="8"/>
  <c r="H107" i="8" s="1"/>
  <c r="F108" i="8"/>
  <c r="H108" i="8" s="1"/>
  <c r="F3" i="8"/>
  <c r="H3" i="8" s="1"/>
  <c r="H106" i="8"/>
  <c r="H104" i="8"/>
  <c r="H102" i="8"/>
  <c r="H100" i="8"/>
  <c r="H98" i="8"/>
  <c r="H96" i="8"/>
  <c r="H95" i="8"/>
  <c r="H94" i="8"/>
  <c r="H93" i="8"/>
  <c r="H90" i="8"/>
  <c r="H89" i="8"/>
  <c r="H87" i="8"/>
  <c r="H85" i="8"/>
  <c r="H82" i="8"/>
  <c r="H81" i="8"/>
  <c r="H79" i="8"/>
  <c r="H77" i="8"/>
  <c r="H76" i="8"/>
  <c r="H74" i="8"/>
  <c r="H72" i="8"/>
  <c r="H71" i="8"/>
  <c r="H67" i="8"/>
  <c r="H59" i="8"/>
  <c r="H58" i="8"/>
  <c r="H56" i="8"/>
  <c r="H55" i="8"/>
  <c r="H54" i="8"/>
  <c r="H52" i="8"/>
  <c r="H50" i="8"/>
  <c r="H49" i="8"/>
  <c r="H48" i="8"/>
  <c r="H47" i="8"/>
  <c r="H45" i="8"/>
  <c r="H44" i="8"/>
  <c r="H43" i="8"/>
  <c r="H41" i="8"/>
  <c r="H40" i="8"/>
  <c r="H39" i="8"/>
  <c r="H37" i="8"/>
  <c r="H36" i="8"/>
  <c r="H34" i="8"/>
  <c r="H33" i="8"/>
  <c r="H32" i="8"/>
  <c r="H30" i="8"/>
  <c r="H29" i="8"/>
  <c r="H28" i="8"/>
  <c r="H26" i="8"/>
  <c r="H25" i="8"/>
  <c r="H24" i="8"/>
  <c r="H22" i="8"/>
  <c r="H21" i="8"/>
  <c r="H20" i="8"/>
  <c r="H19" i="8"/>
  <c r="H18" i="8"/>
  <c r="H17" i="8"/>
  <c r="H16" i="8"/>
  <c r="H14" i="8"/>
  <c r="H13" i="8"/>
  <c r="H12" i="8"/>
  <c r="H10" i="8"/>
  <c r="H9" i="8"/>
  <c r="H8" i="8"/>
  <c r="H7" i="8"/>
  <c r="H6" i="8"/>
  <c r="H4" i="8"/>
  <c r="H93" i="5"/>
  <c r="H28" i="5"/>
  <c r="H14" i="5"/>
  <c r="F4" i="5"/>
  <c r="F6" i="5"/>
  <c r="H6" i="5" s="1"/>
  <c r="F7" i="5"/>
  <c r="H7" i="5" s="1"/>
  <c r="F8" i="5"/>
  <c r="F10" i="5"/>
  <c r="H10" i="5" s="1"/>
  <c r="F11" i="5"/>
  <c r="H11" i="5" s="1"/>
  <c r="F12" i="5"/>
  <c r="H12" i="5" s="1"/>
  <c r="F13" i="5"/>
  <c r="H13" i="5" s="1"/>
  <c r="F14" i="5"/>
  <c r="F15" i="5"/>
  <c r="H15" i="5" s="1"/>
  <c r="F16" i="5"/>
  <c r="H16" i="5" s="1"/>
  <c r="F17" i="5"/>
  <c r="F18" i="5"/>
  <c r="H18" i="5" s="1"/>
  <c r="F19" i="5"/>
  <c r="H19" i="5" s="1"/>
  <c r="F20" i="5"/>
  <c r="F21" i="5"/>
  <c r="H21" i="5" s="1"/>
  <c r="F22" i="5"/>
  <c r="H22" i="5" s="1"/>
  <c r="F23" i="5"/>
  <c r="H23" i="5" s="1"/>
  <c r="F24" i="5"/>
  <c r="F25" i="5"/>
  <c r="F26" i="5"/>
  <c r="H26" i="5" s="1"/>
  <c r="F27" i="5"/>
  <c r="H27" i="5" s="1"/>
  <c r="F28" i="5"/>
  <c r="F29" i="5"/>
  <c r="H29" i="5" s="1"/>
  <c r="F30" i="5"/>
  <c r="H31" i="5"/>
  <c r="F32" i="5"/>
  <c r="H32" i="5" s="1"/>
  <c r="F33" i="5"/>
  <c r="F34" i="5"/>
  <c r="F35" i="5"/>
  <c r="H35" i="5" s="1"/>
  <c r="F36" i="5"/>
  <c r="F37" i="5"/>
  <c r="F38" i="5"/>
  <c r="H38" i="5" s="1"/>
  <c r="F39" i="5"/>
  <c r="H39" i="5" s="1"/>
  <c r="F40" i="5"/>
  <c r="F41" i="5"/>
  <c r="F42" i="5"/>
  <c r="F43" i="5"/>
  <c r="H43" i="5" s="1"/>
  <c r="F44" i="5"/>
  <c r="H44" i="5" s="1"/>
  <c r="F45" i="5"/>
  <c r="H45" i="5" s="1"/>
  <c r="F46" i="5"/>
  <c r="F47" i="5"/>
  <c r="H47" i="5" s="1"/>
  <c r="F49" i="5"/>
  <c r="H49" i="5" s="1"/>
  <c r="F50" i="5"/>
  <c r="F51" i="5"/>
  <c r="H51" i="5" s="1"/>
  <c r="F52" i="5"/>
  <c r="F53" i="5"/>
  <c r="F54" i="5"/>
  <c r="H54" i="5" s="1"/>
  <c r="F55" i="5"/>
  <c r="F56" i="5"/>
  <c r="F57" i="5"/>
  <c r="F58" i="5"/>
  <c r="H58" i="5" s="1"/>
  <c r="H59" i="5"/>
  <c r="F60" i="5"/>
  <c r="H60" i="5" s="1"/>
  <c r="F61" i="5"/>
  <c r="F62" i="5"/>
  <c r="H62" i="5" s="1"/>
  <c r="F64" i="5"/>
  <c r="F65" i="5"/>
  <c r="F66" i="5"/>
  <c r="H66" i="5" s="1"/>
  <c r="F67" i="5"/>
  <c r="H67" i="5" s="1"/>
  <c r="F68" i="5"/>
  <c r="F69" i="5"/>
  <c r="F70" i="5"/>
  <c r="H70" i="5" s="1"/>
  <c r="F71" i="5"/>
  <c r="H71" i="5" s="1"/>
  <c r="F72" i="5"/>
  <c r="H72" i="5" s="1"/>
  <c r="F73" i="5"/>
  <c r="F74" i="5"/>
  <c r="H74" i="5" s="1"/>
  <c r="F75" i="5"/>
  <c r="H75" i="5" s="1"/>
  <c r="F76" i="5"/>
  <c r="H77" i="5"/>
  <c r="F78" i="5"/>
  <c r="H78" i="5" s="1"/>
  <c r="F79" i="5"/>
  <c r="H79" i="5" s="1"/>
  <c r="F80" i="5"/>
  <c r="F81" i="5"/>
  <c r="F82" i="5"/>
  <c r="H82" i="5" s="1"/>
  <c r="F83" i="5"/>
  <c r="H83" i="5" s="1"/>
  <c r="F84" i="5"/>
  <c r="F85" i="5"/>
  <c r="H85" i="5" s="1"/>
  <c r="F86" i="5"/>
  <c r="H86" i="5" s="1"/>
  <c r="F87" i="5"/>
  <c r="H87" i="5" s="1"/>
  <c r="F88" i="5"/>
  <c r="F89" i="5"/>
  <c r="F90" i="5"/>
  <c r="H90" i="5" s="1"/>
  <c r="F91" i="5"/>
  <c r="H91" i="5" s="1"/>
  <c r="F92" i="5"/>
  <c r="H92" i="5" s="1"/>
  <c r="F93" i="5"/>
  <c r="F94" i="5"/>
  <c r="H94" i="5" s="1"/>
  <c r="F95" i="5"/>
  <c r="H95" i="5" s="1"/>
  <c r="F96" i="5"/>
  <c r="H96" i="5" s="1"/>
  <c r="F97" i="5"/>
  <c r="F98" i="5"/>
  <c r="H98" i="5" s="1"/>
  <c r="F99" i="5"/>
  <c r="H99" i="5" s="1"/>
  <c r="F100" i="5"/>
  <c r="H100" i="5" s="1"/>
  <c r="F101" i="5"/>
  <c r="F102" i="5"/>
  <c r="H102" i="5" s="1"/>
  <c r="F103" i="5"/>
  <c r="H103" i="5" s="1"/>
  <c r="F104" i="5"/>
  <c r="F105" i="5"/>
  <c r="F106" i="5"/>
  <c r="H106" i="5" s="1"/>
  <c r="F107" i="5"/>
  <c r="H107" i="5" s="1"/>
  <c r="F108" i="5"/>
  <c r="H108" i="5" s="1"/>
  <c r="F3" i="5"/>
  <c r="H105" i="5"/>
  <c r="H104" i="5"/>
  <c r="H101" i="5"/>
  <c r="H97" i="5"/>
  <c r="H89" i="5"/>
  <c r="H88" i="5"/>
  <c r="H84" i="5"/>
  <c r="H81" i="5"/>
  <c r="H80" i="5"/>
  <c r="H76" i="5"/>
  <c r="H73" i="5"/>
  <c r="H69" i="5"/>
  <c r="H68" i="5"/>
  <c r="H65" i="5"/>
  <c r="H64" i="5"/>
  <c r="H63" i="5"/>
  <c r="H61" i="5"/>
  <c r="H57" i="5"/>
  <c r="H56" i="5"/>
  <c r="H55" i="5"/>
  <c r="H53" i="5"/>
  <c r="H52" i="5"/>
  <c r="H50" i="5"/>
  <c r="H48" i="5"/>
  <c r="H46" i="5"/>
  <c r="H42" i="5"/>
  <c r="H41" i="5"/>
  <c r="H40" i="5"/>
  <c r="H37" i="5"/>
  <c r="H36" i="5"/>
  <c r="H34" i="5"/>
  <c r="H33" i="5"/>
  <c r="H30" i="5"/>
  <c r="H25" i="5"/>
  <c r="H24" i="5"/>
  <c r="H20" i="5"/>
  <c r="H17" i="5"/>
  <c r="H9" i="5"/>
  <c r="H8" i="5"/>
  <c r="H5" i="5"/>
  <c r="H4" i="5"/>
  <c r="H3" i="5"/>
  <c r="H4" i="4"/>
  <c r="H5" i="4"/>
  <c r="H6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F96" i="4"/>
  <c r="F65" i="4"/>
  <c r="F44" i="4"/>
  <c r="F41" i="4"/>
  <c r="F38" i="4"/>
  <c r="F14" i="4"/>
  <c r="F15" i="4"/>
  <c r="F16" i="4"/>
  <c r="F17" i="4"/>
  <c r="F18" i="4"/>
  <c r="F19" i="4"/>
  <c r="F20" i="4"/>
  <c r="I49" i="4"/>
  <c r="I89" i="4"/>
  <c r="F40" i="4"/>
  <c r="F77" i="4"/>
  <c r="F78" i="4"/>
  <c r="F60" i="4"/>
  <c r="F4" i="4"/>
  <c r="F5" i="4"/>
  <c r="F6" i="4"/>
  <c r="F7" i="4"/>
  <c r="H7" i="4" s="1"/>
  <c r="F8" i="4"/>
  <c r="F9" i="4"/>
  <c r="F10" i="4"/>
  <c r="F11" i="4"/>
  <c r="F12" i="4"/>
  <c r="F13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9" i="4"/>
  <c r="F42" i="4"/>
  <c r="F43" i="4"/>
  <c r="F45" i="4"/>
  <c r="F46" i="4"/>
  <c r="F47" i="4"/>
  <c r="F48" i="4"/>
  <c r="F50" i="4"/>
  <c r="F51" i="4"/>
  <c r="F52" i="4"/>
  <c r="F53" i="4"/>
  <c r="F54" i="4"/>
  <c r="F55" i="4"/>
  <c r="F56" i="4"/>
  <c r="F57" i="4"/>
  <c r="F58" i="4"/>
  <c r="F59" i="4"/>
  <c r="F61" i="4"/>
  <c r="F62" i="4"/>
  <c r="F63" i="4"/>
  <c r="F64" i="4"/>
  <c r="F66" i="4"/>
  <c r="F67" i="4"/>
  <c r="F68" i="4"/>
  <c r="F69" i="4"/>
  <c r="F70" i="4"/>
  <c r="F71" i="4"/>
  <c r="F72" i="4"/>
  <c r="F73" i="4"/>
  <c r="F74" i="4"/>
  <c r="F75" i="4"/>
  <c r="F76" i="4"/>
  <c r="F79" i="4"/>
  <c r="F80" i="4"/>
  <c r="F81" i="4"/>
  <c r="F82" i="4"/>
  <c r="F83" i="4"/>
  <c r="F84" i="4"/>
  <c r="F85" i="4"/>
  <c r="F86" i="4"/>
  <c r="F87" i="4"/>
  <c r="F88" i="4"/>
  <c r="F90" i="4"/>
  <c r="F91" i="4"/>
  <c r="F92" i="4"/>
  <c r="F93" i="4"/>
  <c r="F94" i="4"/>
  <c r="F95" i="4"/>
  <c r="F97" i="4"/>
  <c r="F98" i="4"/>
  <c r="F99" i="4"/>
  <c r="F100" i="4"/>
  <c r="F101" i="4"/>
  <c r="F102" i="4"/>
  <c r="F103" i="4"/>
  <c r="F104" i="4"/>
  <c r="F105" i="4"/>
  <c r="H24" i="2"/>
  <c r="I24" i="2"/>
  <c r="H72" i="2"/>
  <c r="H96" i="2"/>
  <c r="H97" i="2"/>
  <c r="H95" i="2"/>
  <c r="I12" i="2"/>
  <c r="H12" i="2"/>
  <c r="I20" i="2"/>
  <c r="I21" i="2"/>
  <c r="H20" i="2"/>
  <c r="H21" i="2"/>
  <c r="I14" i="2"/>
  <c r="H14" i="2"/>
  <c r="I4" i="2"/>
  <c r="I5" i="2"/>
  <c r="I6" i="2"/>
  <c r="I7" i="2"/>
  <c r="I8" i="2"/>
  <c r="I9" i="2"/>
  <c r="I10" i="2"/>
  <c r="I11" i="2"/>
  <c r="I13" i="2"/>
  <c r="I15" i="2"/>
  <c r="I16" i="2"/>
  <c r="I17" i="2"/>
  <c r="I18" i="2"/>
  <c r="I19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3" i="2"/>
  <c r="H75" i="2"/>
  <c r="H86" i="2"/>
  <c r="H94" i="2"/>
  <c r="H93" i="2"/>
  <c r="H92" i="2"/>
  <c r="H91" i="2"/>
  <c r="H90" i="2"/>
  <c r="H89" i="2"/>
  <c r="H88" i="2"/>
  <c r="H87" i="2"/>
  <c r="H85" i="2"/>
  <c r="H84" i="2"/>
  <c r="H83" i="2"/>
  <c r="H82" i="2"/>
  <c r="H81" i="2"/>
  <c r="H80" i="2"/>
  <c r="H79" i="2"/>
  <c r="H78" i="2"/>
  <c r="H77" i="2"/>
  <c r="H76" i="2"/>
  <c r="H74" i="2"/>
  <c r="H73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3" i="2"/>
  <c r="H22" i="2"/>
  <c r="H19" i="2"/>
  <c r="H18" i="2"/>
  <c r="H17" i="2"/>
  <c r="H16" i="2"/>
  <c r="H15" i="2"/>
  <c r="H13" i="2"/>
  <c r="H11" i="2"/>
  <c r="H10" i="2"/>
  <c r="H9" i="2"/>
  <c r="H8" i="2"/>
  <c r="H7" i="2"/>
  <c r="H6" i="2"/>
  <c r="H5" i="2"/>
  <c r="H4" i="2"/>
  <c r="H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6" i="1"/>
  <c r="H77" i="1"/>
  <c r="H78" i="1"/>
  <c r="H79" i="1"/>
  <c r="H80" i="1"/>
  <c r="H81" i="1"/>
  <c r="H82" i="1"/>
  <c r="H83" i="1"/>
  <c r="H84" i="1"/>
  <c r="H85" i="1"/>
  <c r="H86" i="1"/>
  <c r="H87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H46" i="1" s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H75" i="1" s="1"/>
  <c r="F76" i="1"/>
  <c r="F77" i="1"/>
  <c r="F78" i="1"/>
  <c r="F79" i="1"/>
  <c r="F80" i="1"/>
  <c r="F81" i="1"/>
  <c r="F82" i="1"/>
  <c r="F83" i="1"/>
  <c r="F84" i="1"/>
  <c r="F85" i="1"/>
  <c r="F86" i="1"/>
  <c r="F87" i="1"/>
  <c r="F2" i="1"/>
  <c r="B113" i="10" l="1"/>
  <c r="B112" i="9"/>
  <c r="B110" i="8"/>
  <c r="B110" i="5"/>
  <c r="B107" i="4"/>
  <c r="H99" i="2"/>
  <c r="H88" i="1"/>
  <c r="F3" i="4"/>
  <c r="H3" i="4" s="1"/>
</calcChain>
</file>

<file path=xl/sharedStrings.xml><?xml version="1.0" encoding="utf-8"?>
<sst xmlns="http://schemas.openxmlformats.org/spreadsheetml/2006/main" count="788" uniqueCount="136">
  <si>
    <t xml:space="preserve">MERCANCIA </t>
  </si>
  <si>
    <t>shaka piña colada 250ml</t>
  </si>
  <si>
    <t>refresco limon lata</t>
  </si>
  <si>
    <t>malta guajira 330ml</t>
  </si>
  <si>
    <t>malta guajira 1.5l</t>
  </si>
  <si>
    <t>jugo mango 1l</t>
  </si>
  <si>
    <t xml:space="preserve">jugo gusto peach </t>
  </si>
  <si>
    <t>jugo gusto stranwberry</t>
  </si>
  <si>
    <t>jugo gusto pineapple</t>
  </si>
  <si>
    <t>energizante 5shots</t>
  </si>
  <si>
    <t>cerveza moyoc</t>
  </si>
  <si>
    <t>cerveza windmill</t>
  </si>
  <si>
    <t>cerveza unlaguer</t>
  </si>
  <si>
    <t>agua pequeña</t>
  </si>
  <si>
    <t>agua grande</t>
  </si>
  <si>
    <t>refresco limon 1.5l</t>
  </si>
  <si>
    <t>wisky</t>
  </si>
  <si>
    <t>arroz el rey</t>
  </si>
  <si>
    <t>espagueti (fresko)</t>
  </si>
  <si>
    <t>azucar energy</t>
  </si>
  <si>
    <t>mayonesa</t>
  </si>
  <si>
    <t>pasta tomate</t>
  </si>
  <si>
    <t>café cubita</t>
  </si>
  <si>
    <t>ketchup vima</t>
  </si>
  <si>
    <t>pasta bocadito</t>
  </si>
  <si>
    <t>detergente liquido multiuso</t>
  </si>
  <si>
    <t>leche condensada</t>
  </si>
  <si>
    <t xml:space="preserve">sopa instantanea </t>
  </si>
  <si>
    <t xml:space="preserve">zumo de limon </t>
  </si>
  <si>
    <t>chicharos verdes</t>
  </si>
  <si>
    <t>atun 190g</t>
  </si>
  <si>
    <t xml:space="preserve">pasta dental </t>
  </si>
  <si>
    <t>galletas dolcero</t>
  </si>
  <si>
    <t>jabas</t>
  </si>
  <si>
    <t>papitas rojas</t>
  </si>
  <si>
    <t>papitas verdes</t>
  </si>
  <si>
    <t xml:space="preserve">galletas elegance </t>
  </si>
  <si>
    <t>sorbeto joy</t>
  </si>
  <si>
    <t>wafer vitarella</t>
  </si>
  <si>
    <t>top mix peque</t>
  </si>
  <si>
    <t>galletas todeschini</t>
  </si>
  <si>
    <t>galletas brinky</t>
  </si>
  <si>
    <t xml:space="preserve">galletas crakeñas </t>
  </si>
  <si>
    <t>papelhigienico unidad</t>
  </si>
  <si>
    <t>papel higienico</t>
  </si>
  <si>
    <t>sazon completo</t>
  </si>
  <si>
    <t>pellis marranetas</t>
  </si>
  <si>
    <t>pellis to tox</t>
  </si>
  <si>
    <t xml:space="preserve">galletas marie </t>
  </si>
  <si>
    <t>panque odoo</t>
  </si>
  <si>
    <t>panque polson</t>
  </si>
  <si>
    <t>panque tomorrow</t>
  </si>
  <si>
    <t>panque cimboo</t>
  </si>
  <si>
    <t>peter jilly</t>
  </si>
  <si>
    <t>peter crispy</t>
  </si>
  <si>
    <t>peter biskiato</t>
  </si>
  <si>
    <t>peter delux</t>
  </si>
  <si>
    <t>peter kek</t>
  </si>
  <si>
    <t>panque paye</t>
  </si>
  <si>
    <t xml:space="preserve">panque choco paye </t>
  </si>
  <si>
    <t xml:space="preserve">frazadas de piso </t>
  </si>
  <si>
    <t>jabon kare</t>
  </si>
  <si>
    <t xml:space="preserve">aceite </t>
  </si>
  <si>
    <t>picadillo cocinerito 400 g</t>
  </si>
  <si>
    <t>picadillo de pollo 1 kg</t>
  </si>
  <si>
    <t>cigarro popular verde caja</t>
  </si>
  <si>
    <t>cigarro popular rojo caja</t>
  </si>
  <si>
    <t>cigarro h upman caja</t>
  </si>
  <si>
    <t>malvavisco</t>
  </si>
  <si>
    <t>chupachupa</t>
  </si>
  <si>
    <t>harina de trigo 1kg</t>
  </si>
  <si>
    <t>detergente khawla</t>
  </si>
  <si>
    <t>leche evaporada</t>
  </si>
  <si>
    <t>azucar campofino</t>
  </si>
  <si>
    <t>pollo lb</t>
  </si>
  <si>
    <t xml:space="preserve">cuadro de pollo </t>
  </si>
  <si>
    <t>intimas</t>
  </si>
  <si>
    <t>mantequilla</t>
  </si>
  <si>
    <t>acondicionador</t>
  </si>
  <si>
    <t xml:space="preserve">toallitas humedas </t>
  </si>
  <si>
    <t>suavizante</t>
  </si>
  <si>
    <t>gelatina</t>
  </si>
  <si>
    <t xml:space="preserve">galletas craqueñas unidad </t>
  </si>
  <si>
    <t>IMPORTE TOTAL</t>
  </si>
  <si>
    <t>CANT. INICIAL</t>
  </si>
  <si>
    <t>ENTRADA</t>
  </si>
  <si>
    <t>MERMA</t>
  </si>
  <si>
    <t>CONSUMO</t>
  </si>
  <si>
    <t>SALIDA</t>
  </si>
  <si>
    <t>PRECIO</t>
  </si>
  <si>
    <t>IMPORTE</t>
  </si>
  <si>
    <t>CANT. FINAL</t>
  </si>
  <si>
    <t>Fanguito</t>
  </si>
  <si>
    <t>Coditos</t>
  </si>
  <si>
    <t>Refresco instantaneo YEYA</t>
  </si>
  <si>
    <t>Jugo melocoton 1L</t>
  </si>
  <si>
    <t>queso lb</t>
  </si>
  <si>
    <t>caja popular de bodega</t>
  </si>
  <si>
    <t>jamonada lb</t>
  </si>
  <si>
    <t>hamburguesa de pollo</t>
  </si>
  <si>
    <t>sorbeto vitarella</t>
  </si>
  <si>
    <t>mantequilla mesa</t>
  </si>
  <si>
    <t>mantequilla soya</t>
  </si>
  <si>
    <t>cerveza beck</t>
  </si>
  <si>
    <t>refresco naranja dispensado</t>
  </si>
  <si>
    <t>refreco cola dispensado</t>
  </si>
  <si>
    <t>jugo sunchy</t>
  </si>
  <si>
    <t>papel higienico unidad</t>
  </si>
  <si>
    <t>jugo gusto strawberry</t>
  </si>
  <si>
    <t>jugo mango 1L</t>
  </si>
  <si>
    <t>malta guajira 1.5L</t>
  </si>
  <si>
    <t>pellis totox</t>
  </si>
  <si>
    <t>refresco limon 1.5L</t>
  </si>
  <si>
    <t>pasta de tomate</t>
  </si>
  <si>
    <t>galletas lamore</t>
  </si>
  <si>
    <t>espagueti rosco</t>
  </si>
  <si>
    <t>cerveza cristal extra</t>
  </si>
  <si>
    <t>cerveza breda</t>
  </si>
  <si>
    <t>cerveza la fria</t>
  </si>
  <si>
    <t>shaka azul</t>
  </si>
  <si>
    <t>mayonesa hollandpark</t>
  </si>
  <si>
    <t>galletas saltiblocks paquete</t>
  </si>
  <si>
    <t>galletas saltiblocks unidad</t>
  </si>
  <si>
    <t>coditos</t>
  </si>
  <si>
    <t xml:space="preserve">Total vendido real </t>
  </si>
  <si>
    <t>cigarro popular de bodega</t>
  </si>
  <si>
    <t>cerveza cristal</t>
  </si>
  <si>
    <t>refresco instantaneo YEYA</t>
  </si>
  <si>
    <t>refresco cola lata</t>
  </si>
  <si>
    <t>refresco cola dispensado</t>
  </si>
  <si>
    <t>detergente en polvo STB</t>
  </si>
  <si>
    <t>fanguito</t>
  </si>
  <si>
    <t>malta guajira grande 1.5L</t>
  </si>
  <si>
    <t>leche en polvo</t>
  </si>
  <si>
    <t>jabon Harmony</t>
  </si>
  <si>
    <t>bolsa de pan 8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</si>
</sst>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;[Red]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164" fontId="0" fillId="3" borderId="0" xfId="0" applyNumberFormat="1" applyFill="1"/>
    <xf numFmtId="0" fontId="0" fillId="3" borderId="0" xfId="0" applyFill="1"/>
    <xf numFmtId="165" fontId="1" fillId="4" borderId="0" xfId="0" applyNumberFormat="1" applyFont="1" applyFill="1" applyAlignment="1">
      <alignment horizontal="center" vertical="center"/>
    </xf>
    <xf numFmtId="165" fontId="0" fillId="4" borderId="0" xfId="0" applyNumberFormat="1" applyFill="1"/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164" fontId="0" fillId="5" borderId="0" xfId="0" applyNumberFormat="1" applyFill="1"/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164" fontId="0" fillId="6" borderId="0" xfId="0" applyNumberFormat="1" applyFill="1"/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164" fontId="0" fillId="7" borderId="0" xfId="0" applyNumberFormat="1" applyFill="1"/>
    <xf numFmtId="0" fontId="0" fillId="7" borderId="0" xfId="0" applyFill="1"/>
    <xf numFmtId="0" fontId="1" fillId="8" borderId="0" xfId="0" applyFont="1" applyFill="1" applyAlignment="1">
      <alignment horizontal="center" vertical="center"/>
    </xf>
    <xf numFmtId="164" fontId="0" fillId="8" borderId="0" xfId="0" applyNumberFormat="1" applyFill="1"/>
    <xf numFmtId="0" fontId="0" fillId="8" borderId="0" xfId="0" applyFill="1"/>
    <xf numFmtId="0" fontId="1" fillId="9" borderId="0" xfId="0" applyFont="1" applyFill="1" applyAlignment="1">
      <alignment horizontal="center" vertical="center"/>
    </xf>
    <xf numFmtId="164" fontId="0" fillId="9" borderId="0" xfId="0" applyNumberFormat="1" applyFill="1"/>
    <xf numFmtId="0" fontId="0" fillId="9" borderId="0" xfId="0" applyFill="1"/>
    <xf numFmtId="164" fontId="2" fillId="2" borderId="1" xfId="0" applyNumberFormat="1" applyFont="1" applyFill="1" applyBorder="1"/>
    <xf numFmtId="164" fontId="0" fillId="3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5" fontId="0" fillId="4" borderId="1" xfId="0" applyNumberFormat="1" applyFill="1" applyBorder="1"/>
    <xf numFmtId="164" fontId="0" fillId="7" borderId="1" xfId="0" applyNumberFormat="1" applyFill="1" applyBorder="1"/>
    <xf numFmtId="164" fontId="0" fillId="6" borderId="1" xfId="0" applyNumberFormat="1" applyFill="1" applyBorder="1"/>
    <xf numFmtId="0" fontId="0" fillId="5" borderId="1" xfId="0" applyFill="1" applyBorder="1"/>
    <xf numFmtId="164" fontId="0" fillId="2" borderId="1" xfId="0" applyNumberFormat="1" applyFill="1" applyBorder="1"/>
    <xf numFmtId="0" fontId="0" fillId="7" borderId="1" xfId="0" applyFill="1" applyBorder="1"/>
    <xf numFmtId="164" fontId="4" fillId="0" borderId="0" xfId="0" applyNumberFormat="1" applyFont="1"/>
    <xf numFmtId="0" fontId="5" fillId="0" borderId="0" xfId="0" applyFont="1"/>
    <xf numFmtId="0" fontId="3" fillId="0" borderId="0" xfId="0" applyFont="1"/>
    <xf numFmtId="2" fontId="0" fillId="3" borderId="1" xfId="0" applyNumberFormat="1" applyFill="1" applyBorder="1"/>
    <xf numFmtId="2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workbookViewId="0">
      <selection activeCell="D86" sqref="D86"/>
    </sheetView>
  </sheetViews>
  <sheetFormatPr baseColWidth="10" defaultColWidth="9.140625" defaultRowHeight="15" x14ac:dyDescent="0.25"/>
  <cols>
    <col min="1" max="1" width="25.28515625" customWidth="1"/>
    <col min="2" max="3" width="9.28515625" bestFit="1" customWidth="1"/>
    <col min="6" max="6" width="12.85546875" style="5" customWidth="1"/>
    <col min="7" max="7" width="9.28515625" bestFit="1" customWidth="1"/>
    <col min="8" max="8" width="9.28515625" customWidth="1"/>
    <col min="9" max="9" width="10.7109375" customWidth="1"/>
  </cols>
  <sheetData>
    <row r="1" spans="1:9" x14ac:dyDescent="0.25">
      <c r="A1" s="1" t="s">
        <v>0</v>
      </c>
      <c r="B1" s="1" t="s">
        <v>84</v>
      </c>
      <c r="C1" s="2" t="s">
        <v>85</v>
      </c>
      <c r="D1" s="2" t="s">
        <v>86</v>
      </c>
      <c r="E1" s="2" t="s">
        <v>87</v>
      </c>
      <c r="F1" s="4" t="s">
        <v>88</v>
      </c>
      <c r="G1" s="2" t="s">
        <v>89</v>
      </c>
      <c r="H1" s="2" t="s">
        <v>90</v>
      </c>
      <c r="I1" s="2" t="s">
        <v>91</v>
      </c>
    </row>
    <row r="2" spans="1:9" x14ac:dyDescent="0.25">
      <c r="A2" t="s">
        <v>1</v>
      </c>
      <c r="B2" s="3">
        <v>15</v>
      </c>
      <c r="C2" s="3">
        <v>0</v>
      </c>
      <c r="D2" s="3">
        <v>0</v>
      </c>
      <c r="E2" s="3">
        <v>0</v>
      </c>
      <c r="F2" s="5">
        <f t="shared" ref="F2:F33" si="0">B2+C2-D2-E2-I2</f>
        <v>4</v>
      </c>
      <c r="G2" s="3">
        <v>530</v>
      </c>
      <c r="H2" s="3">
        <f>F2*G2</f>
        <v>2120</v>
      </c>
      <c r="I2" s="3">
        <v>11</v>
      </c>
    </row>
    <row r="3" spans="1:9" x14ac:dyDescent="0.25">
      <c r="A3" t="s">
        <v>2</v>
      </c>
      <c r="B3" s="3">
        <v>20</v>
      </c>
      <c r="C3" s="3">
        <v>0</v>
      </c>
      <c r="D3" s="3">
        <v>0</v>
      </c>
      <c r="E3" s="3">
        <v>0</v>
      </c>
      <c r="F3" s="5">
        <f t="shared" si="0"/>
        <v>6</v>
      </c>
      <c r="G3" s="3">
        <v>500</v>
      </c>
      <c r="H3" s="3">
        <f t="shared" ref="H3:H66" si="1">F3*G3</f>
        <v>3000</v>
      </c>
      <c r="I3" s="3">
        <v>14</v>
      </c>
    </row>
    <row r="4" spans="1:9" x14ac:dyDescent="0.25">
      <c r="A4" t="s">
        <v>3</v>
      </c>
      <c r="B4" s="3">
        <v>19</v>
      </c>
      <c r="C4" s="3">
        <v>0</v>
      </c>
      <c r="D4" s="3">
        <v>0</v>
      </c>
      <c r="E4" s="3">
        <v>0</v>
      </c>
      <c r="F4" s="5">
        <f t="shared" si="0"/>
        <v>5</v>
      </c>
      <c r="G4" s="3">
        <v>550</v>
      </c>
      <c r="H4" s="3">
        <f t="shared" si="1"/>
        <v>2750</v>
      </c>
      <c r="I4" s="3">
        <v>14</v>
      </c>
    </row>
    <row r="5" spans="1:9" x14ac:dyDescent="0.25">
      <c r="A5" t="s">
        <v>4</v>
      </c>
      <c r="B5" s="3">
        <v>3</v>
      </c>
      <c r="C5" s="3">
        <v>0</v>
      </c>
      <c r="D5" s="3">
        <v>0</v>
      </c>
      <c r="E5" s="3">
        <v>0</v>
      </c>
      <c r="F5" s="5">
        <f t="shared" si="0"/>
        <v>2</v>
      </c>
      <c r="G5" s="3">
        <v>1600</v>
      </c>
      <c r="H5" s="3">
        <f t="shared" si="1"/>
        <v>3200</v>
      </c>
      <c r="I5" s="3">
        <v>1</v>
      </c>
    </row>
    <row r="6" spans="1:9" x14ac:dyDescent="0.25">
      <c r="A6" t="s">
        <v>5</v>
      </c>
      <c r="B6" s="3">
        <v>9</v>
      </c>
      <c r="C6" s="3">
        <v>0</v>
      </c>
      <c r="D6" s="3">
        <v>0</v>
      </c>
      <c r="E6" s="3">
        <v>0</v>
      </c>
      <c r="F6" s="5">
        <f t="shared" si="0"/>
        <v>1</v>
      </c>
      <c r="G6" s="3">
        <v>1200</v>
      </c>
      <c r="H6" s="3">
        <f t="shared" si="1"/>
        <v>1200</v>
      </c>
      <c r="I6" s="3">
        <v>8</v>
      </c>
    </row>
    <row r="7" spans="1:9" x14ac:dyDescent="0.25">
      <c r="A7" t="s">
        <v>95</v>
      </c>
      <c r="B7" s="3">
        <v>0</v>
      </c>
      <c r="C7" s="3">
        <v>12</v>
      </c>
      <c r="D7" s="3">
        <v>0</v>
      </c>
      <c r="E7" s="3">
        <v>0</v>
      </c>
      <c r="F7" s="5">
        <f t="shared" si="0"/>
        <v>0</v>
      </c>
      <c r="G7" s="3">
        <v>1400</v>
      </c>
      <c r="H7" s="3">
        <f t="shared" si="1"/>
        <v>0</v>
      </c>
      <c r="I7" s="3">
        <v>12</v>
      </c>
    </row>
    <row r="8" spans="1:9" x14ac:dyDescent="0.25">
      <c r="A8" t="s">
        <v>6</v>
      </c>
      <c r="B8" s="3">
        <v>20</v>
      </c>
      <c r="C8" s="3">
        <v>0</v>
      </c>
      <c r="D8" s="3">
        <v>0</v>
      </c>
      <c r="E8" s="3">
        <v>0</v>
      </c>
      <c r="F8" s="5">
        <f t="shared" si="0"/>
        <v>14</v>
      </c>
      <c r="G8" s="3">
        <v>500</v>
      </c>
      <c r="H8" s="3">
        <f t="shared" si="1"/>
        <v>7000</v>
      </c>
      <c r="I8" s="3">
        <v>6</v>
      </c>
    </row>
    <row r="9" spans="1:9" x14ac:dyDescent="0.25">
      <c r="A9" t="s">
        <v>7</v>
      </c>
      <c r="B9" s="3">
        <v>12</v>
      </c>
      <c r="C9" s="3">
        <v>0</v>
      </c>
      <c r="D9" s="3">
        <v>0</v>
      </c>
      <c r="E9" s="3">
        <v>0</v>
      </c>
      <c r="F9" s="5">
        <f t="shared" si="0"/>
        <v>12</v>
      </c>
      <c r="G9" s="3">
        <v>500</v>
      </c>
      <c r="H9" s="3">
        <f t="shared" si="1"/>
        <v>6000</v>
      </c>
      <c r="I9" s="3">
        <v>0</v>
      </c>
    </row>
    <row r="10" spans="1:9" x14ac:dyDescent="0.25">
      <c r="A10" t="s">
        <v>8</v>
      </c>
      <c r="B10" s="3">
        <v>26</v>
      </c>
      <c r="C10" s="3">
        <v>10</v>
      </c>
      <c r="D10" s="3">
        <v>0</v>
      </c>
      <c r="E10" s="3">
        <v>0</v>
      </c>
      <c r="F10" s="5">
        <f t="shared" si="0"/>
        <v>11</v>
      </c>
      <c r="G10" s="3">
        <v>500</v>
      </c>
      <c r="H10" s="3">
        <f t="shared" si="1"/>
        <v>5500</v>
      </c>
      <c r="I10" s="3">
        <v>25</v>
      </c>
    </row>
    <row r="11" spans="1:9" x14ac:dyDescent="0.25">
      <c r="A11" t="s">
        <v>9</v>
      </c>
      <c r="B11" s="3">
        <v>27</v>
      </c>
      <c r="C11" s="3">
        <v>0</v>
      </c>
      <c r="D11" s="3">
        <v>0</v>
      </c>
      <c r="E11" s="3">
        <v>0</v>
      </c>
      <c r="F11" s="5">
        <f t="shared" si="0"/>
        <v>1</v>
      </c>
      <c r="G11" s="3">
        <v>530</v>
      </c>
      <c r="H11" s="3">
        <f t="shared" si="1"/>
        <v>530</v>
      </c>
      <c r="I11" s="3">
        <v>26</v>
      </c>
    </row>
    <row r="12" spans="1:9" x14ac:dyDescent="0.25">
      <c r="A12" t="s">
        <v>10</v>
      </c>
      <c r="B12" s="3">
        <v>21</v>
      </c>
      <c r="C12" s="3">
        <v>0</v>
      </c>
      <c r="D12" s="3">
        <v>0</v>
      </c>
      <c r="E12" s="3">
        <v>0</v>
      </c>
      <c r="F12" s="5">
        <f t="shared" si="0"/>
        <v>6</v>
      </c>
      <c r="G12" s="3">
        <v>550</v>
      </c>
      <c r="H12" s="3">
        <f t="shared" si="1"/>
        <v>3300</v>
      </c>
      <c r="I12" s="3">
        <v>15</v>
      </c>
    </row>
    <row r="13" spans="1:9" x14ac:dyDescent="0.25">
      <c r="A13" t="s">
        <v>11</v>
      </c>
      <c r="B13" s="3">
        <v>12</v>
      </c>
      <c r="C13" s="3">
        <v>0</v>
      </c>
      <c r="D13" s="3">
        <v>0</v>
      </c>
      <c r="E13" s="3">
        <v>0</v>
      </c>
      <c r="F13" s="5">
        <f t="shared" si="0"/>
        <v>11</v>
      </c>
      <c r="G13" s="3">
        <v>550</v>
      </c>
      <c r="H13" s="3">
        <f t="shared" si="1"/>
        <v>6050</v>
      </c>
      <c r="I13" s="3">
        <v>1</v>
      </c>
    </row>
    <row r="14" spans="1:9" x14ac:dyDescent="0.25">
      <c r="A14" t="s">
        <v>12</v>
      </c>
      <c r="B14" s="3">
        <v>32</v>
      </c>
      <c r="C14" s="3">
        <v>0</v>
      </c>
      <c r="D14" s="3">
        <v>4</v>
      </c>
      <c r="E14" s="3">
        <v>0</v>
      </c>
      <c r="F14" s="5">
        <f t="shared" si="0"/>
        <v>15</v>
      </c>
      <c r="G14" s="3">
        <v>530</v>
      </c>
      <c r="H14" s="3">
        <f t="shared" si="1"/>
        <v>7950</v>
      </c>
      <c r="I14" s="3">
        <v>13</v>
      </c>
    </row>
    <row r="15" spans="1:9" x14ac:dyDescent="0.25">
      <c r="A15" t="s">
        <v>13</v>
      </c>
      <c r="B15" s="3">
        <v>23</v>
      </c>
      <c r="C15" s="3">
        <v>0</v>
      </c>
      <c r="D15" s="3">
        <v>0</v>
      </c>
      <c r="E15" s="3">
        <v>0</v>
      </c>
      <c r="F15" s="5">
        <f t="shared" si="0"/>
        <v>2</v>
      </c>
      <c r="G15" s="3">
        <v>280</v>
      </c>
      <c r="H15" s="3">
        <f t="shared" si="1"/>
        <v>560</v>
      </c>
      <c r="I15" s="3">
        <v>21</v>
      </c>
    </row>
    <row r="16" spans="1:9" x14ac:dyDescent="0.25">
      <c r="A16" t="s">
        <v>14</v>
      </c>
      <c r="B16" s="3">
        <v>21</v>
      </c>
      <c r="C16" s="3">
        <v>0</v>
      </c>
      <c r="D16" s="3">
        <v>0</v>
      </c>
      <c r="E16" s="3">
        <v>0</v>
      </c>
      <c r="F16" s="5">
        <f t="shared" si="0"/>
        <v>1</v>
      </c>
      <c r="G16" s="3">
        <v>460</v>
      </c>
      <c r="H16" s="3">
        <f t="shared" si="1"/>
        <v>460</v>
      </c>
      <c r="I16" s="3">
        <v>20</v>
      </c>
    </row>
    <row r="17" spans="1:9" x14ac:dyDescent="0.25">
      <c r="A17" t="s">
        <v>15</v>
      </c>
      <c r="B17" s="3">
        <v>2</v>
      </c>
      <c r="C17" s="3">
        <v>12</v>
      </c>
      <c r="D17" s="3">
        <v>0</v>
      </c>
      <c r="E17" s="3">
        <v>0</v>
      </c>
      <c r="F17" s="5">
        <f t="shared" si="0"/>
        <v>8</v>
      </c>
      <c r="G17" s="3">
        <v>1100</v>
      </c>
      <c r="H17" s="3">
        <f t="shared" si="1"/>
        <v>8800</v>
      </c>
      <c r="I17" s="3">
        <v>6</v>
      </c>
    </row>
    <row r="18" spans="1:9" x14ac:dyDescent="0.25">
      <c r="A18" t="s">
        <v>16</v>
      </c>
      <c r="B18" s="3">
        <v>0</v>
      </c>
      <c r="C18" s="3">
        <v>0</v>
      </c>
      <c r="D18" s="3">
        <v>0</v>
      </c>
      <c r="E18" s="3">
        <v>0</v>
      </c>
      <c r="F18" s="5">
        <f t="shared" si="0"/>
        <v>0</v>
      </c>
      <c r="G18" s="3">
        <v>0</v>
      </c>
      <c r="H18" s="3">
        <f t="shared" si="1"/>
        <v>0</v>
      </c>
      <c r="I18" s="3">
        <v>0</v>
      </c>
    </row>
    <row r="19" spans="1:9" x14ac:dyDescent="0.25">
      <c r="A19" t="s">
        <v>17</v>
      </c>
      <c r="B19" s="3">
        <v>4</v>
      </c>
      <c r="C19" s="3">
        <v>9</v>
      </c>
      <c r="D19" s="3">
        <v>0</v>
      </c>
      <c r="E19" s="3">
        <v>0</v>
      </c>
      <c r="F19" s="5">
        <f t="shared" si="0"/>
        <v>6</v>
      </c>
      <c r="G19" s="3">
        <v>850</v>
      </c>
      <c r="H19" s="3">
        <f t="shared" si="1"/>
        <v>5100</v>
      </c>
      <c r="I19" s="3">
        <v>7</v>
      </c>
    </row>
    <row r="20" spans="1:9" x14ac:dyDescent="0.25">
      <c r="A20" t="s">
        <v>18</v>
      </c>
      <c r="B20" s="3">
        <v>0</v>
      </c>
      <c r="C20" s="3">
        <v>0</v>
      </c>
      <c r="D20" s="3">
        <v>0</v>
      </c>
      <c r="E20" s="3">
        <v>0</v>
      </c>
      <c r="F20" s="5">
        <f t="shared" si="0"/>
        <v>0</v>
      </c>
      <c r="G20" s="3">
        <v>0</v>
      </c>
      <c r="H20" s="3">
        <f t="shared" si="1"/>
        <v>0</v>
      </c>
      <c r="I20" s="3">
        <v>0</v>
      </c>
    </row>
    <row r="21" spans="1:9" x14ac:dyDescent="0.25">
      <c r="A21" t="s">
        <v>19</v>
      </c>
      <c r="B21" s="3">
        <v>3</v>
      </c>
      <c r="C21" s="3">
        <v>0</v>
      </c>
      <c r="D21" s="3">
        <v>0</v>
      </c>
      <c r="E21" s="3">
        <v>0</v>
      </c>
      <c r="F21" s="5">
        <f t="shared" si="0"/>
        <v>3</v>
      </c>
      <c r="G21" s="3">
        <v>1200</v>
      </c>
      <c r="H21" s="3">
        <f t="shared" si="1"/>
        <v>3600</v>
      </c>
      <c r="I21" s="3">
        <v>0</v>
      </c>
    </row>
    <row r="22" spans="1:9" x14ac:dyDescent="0.25">
      <c r="A22" t="s">
        <v>20</v>
      </c>
      <c r="B22" s="3">
        <v>7</v>
      </c>
      <c r="C22" s="3">
        <v>0</v>
      </c>
      <c r="D22" s="3">
        <v>0</v>
      </c>
      <c r="E22" s="3">
        <v>0</v>
      </c>
      <c r="F22" s="5">
        <f t="shared" si="0"/>
        <v>1</v>
      </c>
      <c r="G22" s="3">
        <v>1250</v>
      </c>
      <c r="H22" s="3">
        <f t="shared" si="1"/>
        <v>1250</v>
      </c>
      <c r="I22" s="3">
        <v>6</v>
      </c>
    </row>
    <row r="23" spans="1:9" x14ac:dyDescent="0.25">
      <c r="A23" t="s">
        <v>21</v>
      </c>
      <c r="B23" s="3">
        <v>17</v>
      </c>
      <c r="C23" s="3">
        <v>0</v>
      </c>
      <c r="D23" s="3">
        <v>0</v>
      </c>
      <c r="E23" s="3">
        <v>0</v>
      </c>
      <c r="F23" s="5">
        <f t="shared" si="0"/>
        <v>0</v>
      </c>
      <c r="G23" s="3">
        <v>700</v>
      </c>
      <c r="H23" s="3">
        <f t="shared" si="1"/>
        <v>0</v>
      </c>
      <c r="I23" s="3">
        <v>17</v>
      </c>
    </row>
    <row r="24" spans="1:9" x14ac:dyDescent="0.25">
      <c r="A24" t="s">
        <v>22</v>
      </c>
      <c r="B24" s="3">
        <v>17</v>
      </c>
      <c r="C24" s="3">
        <v>0</v>
      </c>
      <c r="D24" s="3">
        <v>0</v>
      </c>
      <c r="E24" s="3">
        <v>0</v>
      </c>
      <c r="F24" s="5">
        <f t="shared" si="0"/>
        <v>0</v>
      </c>
      <c r="G24" s="3">
        <v>1800</v>
      </c>
      <c r="H24" s="3">
        <f t="shared" si="1"/>
        <v>0</v>
      </c>
      <c r="I24" s="3">
        <v>17</v>
      </c>
    </row>
    <row r="25" spans="1:9" x14ac:dyDescent="0.25">
      <c r="A25" t="s">
        <v>23</v>
      </c>
      <c r="B25" s="3">
        <v>7</v>
      </c>
      <c r="C25" s="3">
        <v>0</v>
      </c>
      <c r="D25" s="3">
        <v>0</v>
      </c>
      <c r="E25" s="3">
        <v>0</v>
      </c>
      <c r="F25" s="5">
        <f t="shared" si="0"/>
        <v>0</v>
      </c>
      <c r="G25" s="3">
        <v>1500</v>
      </c>
      <c r="H25" s="3">
        <f t="shared" si="1"/>
        <v>0</v>
      </c>
      <c r="I25" s="3">
        <v>7</v>
      </c>
    </row>
    <row r="26" spans="1:9" x14ac:dyDescent="0.25">
      <c r="A26" t="s">
        <v>24</v>
      </c>
      <c r="B26" s="3">
        <v>7</v>
      </c>
      <c r="C26" s="3">
        <v>0</v>
      </c>
      <c r="D26" s="3">
        <v>0</v>
      </c>
      <c r="E26" s="3">
        <v>0</v>
      </c>
      <c r="F26" s="5">
        <f t="shared" si="0"/>
        <v>1</v>
      </c>
      <c r="G26" s="3">
        <v>2800</v>
      </c>
      <c r="H26" s="3">
        <f t="shared" si="1"/>
        <v>2800</v>
      </c>
      <c r="I26" s="3">
        <v>6</v>
      </c>
    </row>
    <row r="27" spans="1:9" x14ac:dyDescent="0.25">
      <c r="A27" t="s">
        <v>25</v>
      </c>
      <c r="B27" s="3">
        <v>8</v>
      </c>
      <c r="C27" s="3">
        <v>0</v>
      </c>
      <c r="D27" s="3">
        <v>0</v>
      </c>
      <c r="E27" s="3">
        <v>0</v>
      </c>
      <c r="F27" s="5">
        <f t="shared" si="0"/>
        <v>1</v>
      </c>
      <c r="G27" s="3">
        <v>800</v>
      </c>
      <c r="H27" s="3">
        <f t="shared" si="1"/>
        <v>800</v>
      </c>
      <c r="I27" s="3">
        <v>7</v>
      </c>
    </row>
    <row r="28" spans="1:9" x14ac:dyDescent="0.25">
      <c r="A28" t="s">
        <v>26</v>
      </c>
      <c r="B28" s="3">
        <v>7</v>
      </c>
      <c r="C28" s="3">
        <v>0</v>
      </c>
      <c r="D28" s="3">
        <v>0</v>
      </c>
      <c r="E28" s="3">
        <v>0</v>
      </c>
      <c r="F28" s="5">
        <f t="shared" si="0"/>
        <v>1</v>
      </c>
      <c r="G28" s="3">
        <v>950</v>
      </c>
      <c r="H28" s="3">
        <f t="shared" si="1"/>
        <v>950</v>
      </c>
      <c r="I28" s="3">
        <v>6</v>
      </c>
    </row>
    <row r="29" spans="1:9" x14ac:dyDescent="0.25">
      <c r="A29" t="s">
        <v>27</v>
      </c>
      <c r="B29" s="3">
        <v>15</v>
      </c>
      <c r="C29" s="3">
        <v>0</v>
      </c>
      <c r="D29" s="3">
        <v>0</v>
      </c>
      <c r="E29" s="3">
        <v>0</v>
      </c>
      <c r="F29" s="5">
        <f t="shared" si="0"/>
        <v>0</v>
      </c>
      <c r="G29" s="3">
        <v>330</v>
      </c>
      <c r="H29" s="3">
        <f t="shared" si="1"/>
        <v>0</v>
      </c>
      <c r="I29" s="3">
        <v>15</v>
      </c>
    </row>
    <row r="30" spans="1:9" x14ac:dyDescent="0.25">
      <c r="A30" t="s">
        <v>28</v>
      </c>
      <c r="B30" s="3">
        <v>8</v>
      </c>
      <c r="C30" s="3">
        <v>0</v>
      </c>
      <c r="D30" s="3">
        <v>0</v>
      </c>
      <c r="E30" s="3">
        <v>0</v>
      </c>
      <c r="F30" s="5">
        <f t="shared" si="0"/>
        <v>0</v>
      </c>
      <c r="G30" s="3">
        <v>900</v>
      </c>
      <c r="H30" s="3">
        <f t="shared" si="1"/>
        <v>0</v>
      </c>
      <c r="I30" s="3">
        <v>8</v>
      </c>
    </row>
    <row r="31" spans="1:9" x14ac:dyDescent="0.25">
      <c r="A31" t="s">
        <v>29</v>
      </c>
      <c r="B31" s="3">
        <v>16</v>
      </c>
      <c r="C31" s="3">
        <v>0</v>
      </c>
      <c r="D31" s="3">
        <v>0</v>
      </c>
      <c r="E31" s="3">
        <v>0</v>
      </c>
      <c r="F31" s="5">
        <f t="shared" si="0"/>
        <v>3</v>
      </c>
      <c r="G31" s="3">
        <v>1000</v>
      </c>
      <c r="H31" s="3">
        <f t="shared" si="1"/>
        <v>3000</v>
      </c>
      <c r="I31" s="3">
        <v>13</v>
      </c>
    </row>
    <row r="32" spans="1:9" x14ac:dyDescent="0.25">
      <c r="A32" t="s">
        <v>30</v>
      </c>
      <c r="B32" s="3">
        <v>42</v>
      </c>
      <c r="C32" s="3">
        <v>0</v>
      </c>
      <c r="D32" s="3">
        <v>0</v>
      </c>
      <c r="E32" s="3">
        <v>0</v>
      </c>
      <c r="F32" s="5">
        <f t="shared" si="0"/>
        <v>2</v>
      </c>
      <c r="G32" s="3">
        <v>800</v>
      </c>
      <c r="H32" s="3">
        <f t="shared" si="1"/>
        <v>1600</v>
      </c>
      <c r="I32" s="3">
        <v>40</v>
      </c>
    </row>
    <row r="33" spans="1:9" x14ac:dyDescent="0.25">
      <c r="A33" t="s">
        <v>31</v>
      </c>
      <c r="B33" s="3">
        <v>29</v>
      </c>
      <c r="C33" s="3">
        <v>0</v>
      </c>
      <c r="D33" s="3">
        <v>0</v>
      </c>
      <c r="E33" s="3">
        <v>0</v>
      </c>
      <c r="F33" s="5">
        <f t="shared" si="0"/>
        <v>1</v>
      </c>
      <c r="G33" s="3">
        <v>550</v>
      </c>
      <c r="H33" s="3">
        <f t="shared" si="1"/>
        <v>550</v>
      </c>
      <c r="I33" s="3">
        <v>28</v>
      </c>
    </row>
    <row r="34" spans="1:9" x14ac:dyDescent="0.25">
      <c r="A34" t="s">
        <v>32</v>
      </c>
      <c r="B34" s="3">
        <v>18</v>
      </c>
      <c r="C34" s="3">
        <v>0</v>
      </c>
      <c r="D34" s="3">
        <v>0</v>
      </c>
      <c r="E34" s="3">
        <v>0</v>
      </c>
      <c r="F34" s="5">
        <f t="shared" ref="F34:F65" si="2">B34+C34-D34-E34-I34</f>
        <v>2</v>
      </c>
      <c r="G34" s="3">
        <v>250</v>
      </c>
      <c r="H34" s="3">
        <f t="shared" si="1"/>
        <v>500</v>
      </c>
      <c r="I34" s="3">
        <v>16</v>
      </c>
    </row>
    <row r="35" spans="1:9" x14ac:dyDescent="0.25">
      <c r="A35" t="s">
        <v>33</v>
      </c>
      <c r="B35" s="3">
        <v>133</v>
      </c>
      <c r="C35" s="3">
        <v>0</v>
      </c>
      <c r="D35" s="3">
        <v>0</v>
      </c>
      <c r="E35" s="3">
        <v>0</v>
      </c>
      <c r="F35" s="5">
        <f t="shared" si="2"/>
        <v>26</v>
      </c>
      <c r="G35" s="3">
        <v>10</v>
      </c>
      <c r="H35" s="3">
        <f t="shared" si="1"/>
        <v>260</v>
      </c>
      <c r="I35" s="3">
        <v>107</v>
      </c>
    </row>
    <row r="36" spans="1:9" x14ac:dyDescent="0.25">
      <c r="A36" t="s">
        <v>34</v>
      </c>
      <c r="B36" s="3">
        <v>5</v>
      </c>
      <c r="C36" s="3">
        <v>0</v>
      </c>
      <c r="D36" s="3">
        <v>0</v>
      </c>
      <c r="E36" s="3">
        <v>0</v>
      </c>
      <c r="F36" s="5">
        <f t="shared" si="2"/>
        <v>1</v>
      </c>
      <c r="G36" s="3">
        <v>2300</v>
      </c>
      <c r="H36" s="3">
        <f t="shared" si="1"/>
        <v>2300</v>
      </c>
      <c r="I36" s="3">
        <v>4</v>
      </c>
    </row>
    <row r="37" spans="1:9" x14ac:dyDescent="0.25">
      <c r="A37" t="s">
        <v>35</v>
      </c>
      <c r="B37" s="3">
        <v>8</v>
      </c>
      <c r="C37" s="3">
        <v>0</v>
      </c>
      <c r="D37" s="3">
        <v>0</v>
      </c>
      <c r="E37" s="3">
        <v>0</v>
      </c>
      <c r="F37" s="5">
        <f t="shared" si="2"/>
        <v>2</v>
      </c>
      <c r="G37" s="3">
        <v>2320</v>
      </c>
      <c r="H37" s="3">
        <f t="shared" si="1"/>
        <v>4640</v>
      </c>
      <c r="I37" s="3">
        <v>6</v>
      </c>
    </row>
    <row r="38" spans="1:9" x14ac:dyDescent="0.25">
      <c r="A38" t="s">
        <v>36</v>
      </c>
      <c r="B38" s="3">
        <v>18</v>
      </c>
      <c r="C38" s="3">
        <v>0</v>
      </c>
      <c r="D38" s="3">
        <v>0</v>
      </c>
      <c r="E38" s="3">
        <v>0</v>
      </c>
      <c r="F38" s="5">
        <f t="shared" si="2"/>
        <v>0</v>
      </c>
      <c r="G38" s="3">
        <v>350</v>
      </c>
      <c r="H38" s="3">
        <f t="shared" si="1"/>
        <v>0</v>
      </c>
      <c r="I38" s="3">
        <v>18</v>
      </c>
    </row>
    <row r="39" spans="1:9" x14ac:dyDescent="0.25">
      <c r="A39" t="s">
        <v>37</v>
      </c>
      <c r="B39" s="3">
        <v>22</v>
      </c>
      <c r="C39" s="3">
        <v>0</v>
      </c>
      <c r="D39" s="3">
        <v>0</v>
      </c>
      <c r="E39" s="3">
        <v>0</v>
      </c>
      <c r="F39" s="5">
        <f t="shared" si="2"/>
        <v>0</v>
      </c>
      <c r="G39" s="3">
        <v>380</v>
      </c>
      <c r="H39" s="3">
        <f t="shared" si="1"/>
        <v>0</v>
      </c>
      <c r="I39" s="3">
        <v>22</v>
      </c>
    </row>
    <row r="40" spans="1:9" x14ac:dyDescent="0.25">
      <c r="A40" t="s">
        <v>38</v>
      </c>
      <c r="B40" s="3">
        <v>8</v>
      </c>
      <c r="C40" s="3">
        <v>0</v>
      </c>
      <c r="D40" s="3">
        <v>0</v>
      </c>
      <c r="E40" s="3">
        <v>0</v>
      </c>
      <c r="F40" s="5">
        <f t="shared" si="2"/>
        <v>1</v>
      </c>
      <c r="G40" s="3">
        <v>400</v>
      </c>
      <c r="H40" s="3">
        <f t="shared" si="1"/>
        <v>400</v>
      </c>
      <c r="I40" s="3">
        <v>7</v>
      </c>
    </row>
    <row r="41" spans="1:9" x14ac:dyDescent="0.25">
      <c r="A41" t="s">
        <v>39</v>
      </c>
      <c r="B41" s="3">
        <v>24</v>
      </c>
      <c r="C41" s="3">
        <v>0</v>
      </c>
      <c r="D41" s="3">
        <v>0</v>
      </c>
      <c r="E41" s="3">
        <v>0</v>
      </c>
      <c r="F41" s="5">
        <f t="shared" si="2"/>
        <v>0</v>
      </c>
      <c r="G41" s="3">
        <v>650</v>
      </c>
      <c r="H41" s="3">
        <f t="shared" si="1"/>
        <v>0</v>
      </c>
      <c r="I41" s="3">
        <v>24</v>
      </c>
    </row>
    <row r="42" spans="1:9" x14ac:dyDescent="0.25">
      <c r="A42" t="s">
        <v>40</v>
      </c>
      <c r="B42" s="3">
        <v>8</v>
      </c>
      <c r="C42" s="3">
        <v>0</v>
      </c>
      <c r="D42" s="3">
        <v>0</v>
      </c>
      <c r="E42" s="3">
        <v>0</v>
      </c>
      <c r="F42" s="5">
        <f t="shared" si="2"/>
        <v>0</v>
      </c>
      <c r="G42" s="3">
        <v>1100</v>
      </c>
      <c r="H42" s="3">
        <f t="shared" si="1"/>
        <v>0</v>
      </c>
      <c r="I42" s="3">
        <v>8</v>
      </c>
    </row>
    <row r="43" spans="1:9" x14ac:dyDescent="0.25">
      <c r="A43" t="s">
        <v>41</v>
      </c>
      <c r="B43" s="3">
        <v>122</v>
      </c>
      <c r="C43" s="3">
        <v>0</v>
      </c>
      <c r="D43" s="3">
        <v>0</v>
      </c>
      <c r="E43" s="3">
        <v>0</v>
      </c>
      <c r="F43" s="5">
        <f t="shared" si="2"/>
        <v>2</v>
      </c>
      <c r="G43" s="3">
        <v>120</v>
      </c>
      <c r="H43" s="3">
        <f t="shared" si="1"/>
        <v>240</v>
      </c>
      <c r="I43" s="3">
        <v>120</v>
      </c>
    </row>
    <row r="44" spans="1:9" x14ac:dyDescent="0.25">
      <c r="A44" t="s">
        <v>42</v>
      </c>
      <c r="B44" s="3">
        <v>6</v>
      </c>
      <c r="C44" s="3">
        <v>0</v>
      </c>
      <c r="D44" s="3">
        <v>0</v>
      </c>
      <c r="E44" s="3">
        <v>0</v>
      </c>
      <c r="F44" s="5">
        <f t="shared" si="2"/>
        <v>5</v>
      </c>
      <c r="G44" s="3">
        <v>1400</v>
      </c>
      <c r="H44" s="3">
        <f t="shared" si="1"/>
        <v>7000</v>
      </c>
      <c r="I44" s="3">
        <v>1</v>
      </c>
    </row>
    <row r="45" spans="1:9" x14ac:dyDescent="0.25">
      <c r="A45" t="s">
        <v>43</v>
      </c>
      <c r="B45" s="3">
        <v>11</v>
      </c>
      <c r="C45" s="3">
        <v>0</v>
      </c>
      <c r="D45" s="3">
        <v>0</v>
      </c>
      <c r="E45" s="3">
        <v>0</v>
      </c>
      <c r="F45" s="5">
        <f t="shared" si="2"/>
        <v>0</v>
      </c>
      <c r="G45" s="3">
        <v>220</v>
      </c>
      <c r="H45" s="3">
        <f t="shared" si="1"/>
        <v>0</v>
      </c>
      <c r="I45" s="3">
        <v>11</v>
      </c>
    </row>
    <row r="46" spans="1:9" x14ac:dyDescent="0.25">
      <c r="A46" t="s">
        <v>44</v>
      </c>
      <c r="B46" s="3">
        <v>10</v>
      </c>
      <c r="C46" s="3">
        <v>0</v>
      </c>
      <c r="D46" s="3">
        <v>0</v>
      </c>
      <c r="E46" s="3">
        <v>0</v>
      </c>
      <c r="F46" s="5">
        <f t="shared" si="2"/>
        <v>0</v>
      </c>
      <c r="G46" s="3">
        <v>800</v>
      </c>
      <c r="H46" s="3">
        <f t="shared" si="1"/>
        <v>0</v>
      </c>
      <c r="I46" s="3">
        <v>10</v>
      </c>
    </row>
    <row r="47" spans="1:9" x14ac:dyDescent="0.25">
      <c r="A47" t="s">
        <v>45</v>
      </c>
      <c r="B47" s="3">
        <v>51</v>
      </c>
      <c r="C47" s="3">
        <v>0</v>
      </c>
      <c r="D47" s="3">
        <v>0</v>
      </c>
      <c r="E47" s="3">
        <v>0</v>
      </c>
      <c r="F47" s="5">
        <f t="shared" si="2"/>
        <v>0</v>
      </c>
      <c r="G47" s="3">
        <v>70</v>
      </c>
      <c r="H47" s="3">
        <f t="shared" si="1"/>
        <v>0</v>
      </c>
      <c r="I47" s="3">
        <v>51</v>
      </c>
    </row>
    <row r="48" spans="1:9" x14ac:dyDescent="0.25">
      <c r="A48" t="s">
        <v>46</v>
      </c>
      <c r="B48" s="3">
        <v>10</v>
      </c>
      <c r="C48" s="3">
        <v>0</v>
      </c>
      <c r="D48" s="3">
        <v>0</v>
      </c>
      <c r="E48" s="3">
        <v>0</v>
      </c>
      <c r="F48" s="5">
        <f t="shared" si="2"/>
        <v>0</v>
      </c>
      <c r="G48" s="3">
        <v>300</v>
      </c>
      <c r="H48" s="3">
        <f t="shared" si="1"/>
        <v>0</v>
      </c>
      <c r="I48" s="3">
        <v>10</v>
      </c>
    </row>
    <row r="49" spans="1:9" x14ac:dyDescent="0.25">
      <c r="A49" t="s">
        <v>47</v>
      </c>
      <c r="B49" s="3">
        <v>7</v>
      </c>
      <c r="C49" s="3">
        <v>0</v>
      </c>
      <c r="D49" s="3">
        <v>0</v>
      </c>
      <c r="E49" s="3">
        <v>0</v>
      </c>
      <c r="F49" s="5">
        <f t="shared" si="2"/>
        <v>0</v>
      </c>
      <c r="G49" s="3">
        <v>300</v>
      </c>
      <c r="H49" s="3">
        <f t="shared" si="1"/>
        <v>0</v>
      </c>
      <c r="I49" s="3">
        <v>7</v>
      </c>
    </row>
    <row r="50" spans="1:9" x14ac:dyDescent="0.25">
      <c r="A50" t="s">
        <v>48</v>
      </c>
      <c r="B50" s="3">
        <v>13</v>
      </c>
      <c r="C50" s="3">
        <v>0</v>
      </c>
      <c r="D50" s="3">
        <v>0</v>
      </c>
      <c r="E50" s="3">
        <v>0</v>
      </c>
      <c r="F50" s="5">
        <f t="shared" si="2"/>
        <v>1</v>
      </c>
      <c r="G50" s="3">
        <v>450</v>
      </c>
      <c r="H50" s="3">
        <f t="shared" si="1"/>
        <v>450</v>
      </c>
      <c r="I50" s="3">
        <v>12</v>
      </c>
    </row>
    <row r="51" spans="1:9" x14ac:dyDescent="0.25">
      <c r="A51" t="s">
        <v>49</v>
      </c>
      <c r="B51" s="3">
        <v>45</v>
      </c>
      <c r="C51" s="3">
        <v>0</v>
      </c>
      <c r="D51" s="3">
        <v>0</v>
      </c>
      <c r="E51" s="3">
        <v>0</v>
      </c>
      <c r="F51" s="5">
        <f t="shared" si="2"/>
        <v>2</v>
      </c>
      <c r="G51" s="3">
        <v>200</v>
      </c>
      <c r="H51" s="3">
        <f t="shared" si="1"/>
        <v>400</v>
      </c>
      <c r="I51" s="3">
        <v>43</v>
      </c>
    </row>
    <row r="52" spans="1:9" x14ac:dyDescent="0.25">
      <c r="A52" t="s">
        <v>50</v>
      </c>
      <c r="B52" s="3">
        <v>19</v>
      </c>
      <c r="C52" s="3">
        <v>0</v>
      </c>
      <c r="D52" s="3">
        <v>0</v>
      </c>
      <c r="E52" s="3">
        <v>0</v>
      </c>
      <c r="F52" s="5">
        <f t="shared" si="2"/>
        <v>0</v>
      </c>
      <c r="G52" s="3">
        <v>200</v>
      </c>
      <c r="H52" s="3">
        <f t="shared" si="1"/>
        <v>0</v>
      </c>
      <c r="I52" s="3">
        <v>19</v>
      </c>
    </row>
    <row r="53" spans="1:9" x14ac:dyDescent="0.25">
      <c r="A53" t="s">
        <v>51</v>
      </c>
      <c r="B53" s="3">
        <v>18</v>
      </c>
      <c r="C53" s="3">
        <v>0</v>
      </c>
      <c r="D53" s="3">
        <v>0</v>
      </c>
      <c r="E53" s="3">
        <v>0</v>
      </c>
      <c r="F53" s="5">
        <f t="shared" si="2"/>
        <v>0</v>
      </c>
      <c r="G53" s="3">
        <v>200</v>
      </c>
      <c r="H53" s="3">
        <f t="shared" si="1"/>
        <v>0</v>
      </c>
      <c r="I53" s="3">
        <v>18</v>
      </c>
    </row>
    <row r="54" spans="1:9" x14ac:dyDescent="0.25">
      <c r="A54" t="s">
        <v>52</v>
      </c>
      <c r="B54" s="3">
        <v>28</v>
      </c>
      <c r="C54" s="3">
        <v>0</v>
      </c>
      <c r="D54" s="3">
        <v>0</v>
      </c>
      <c r="E54" s="3">
        <v>0</v>
      </c>
      <c r="F54" s="5">
        <f t="shared" si="2"/>
        <v>1</v>
      </c>
      <c r="G54" s="3">
        <v>200</v>
      </c>
      <c r="H54" s="3">
        <f t="shared" si="1"/>
        <v>200</v>
      </c>
      <c r="I54" s="3">
        <v>27</v>
      </c>
    </row>
    <row r="55" spans="1:9" x14ac:dyDescent="0.25">
      <c r="A55" t="s">
        <v>53</v>
      </c>
      <c r="B55" s="3">
        <v>23</v>
      </c>
      <c r="C55" s="3">
        <v>0</v>
      </c>
      <c r="D55" s="3">
        <v>0</v>
      </c>
      <c r="E55" s="3">
        <v>0</v>
      </c>
      <c r="F55" s="5">
        <f t="shared" si="2"/>
        <v>0</v>
      </c>
      <c r="G55" s="3">
        <v>160</v>
      </c>
      <c r="H55" s="3">
        <f t="shared" si="1"/>
        <v>0</v>
      </c>
      <c r="I55" s="3">
        <v>23</v>
      </c>
    </row>
    <row r="56" spans="1:9" x14ac:dyDescent="0.25">
      <c r="A56" t="s">
        <v>54</v>
      </c>
      <c r="B56" s="3">
        <v>19</v>
      </c>
      <c r="C56" s="3">
        <v>0</v>
      </c>
      <c r="D56" s="3">
        <v>0</v>
      </c>
      <c r="E56" s="3">
        <v>0</v>
      </c>
      <c r="F56" s="5">
        <f t="shared" si="2"/>
        <v>0</v>
      </c>
      <c r="G56" s="3">
        <v>200</v>
      </c>
      <c r="H56" s="3">
        <f t="shared" si="1"/>
        <v>0</v>
      </c>
      <c r="I56" s="3">
        <v>19</v>
      </c>
    </row>
    <row r="57" spans="1:9" x14ac:dyDescent="0.25">
      <c r="A57" t="s">
        <v>55</v>
      </c>
      <c r="B57" s="3">
        <v>19</v>
      </c>
      <c r="C57" s="3">
        <v>0</v>
      </c>
      <c r="D57" s="3">
        <v>0</v>
      </c>
      <c r="E57" s="3">
        <v>0</v>
      </c>
      <c r="F57" s="5">
        <f t="shared" si="2"/>
        <v>0</v>
      </c>
      <c r="G57" s="3">
        <v>150</v>
      </c>
      <c r="H57" s="3">
        <f t="shared" si="1"/>
        <v>0</v>
      </c>
      <c r="I57" s="3">
        <v>19</v>
      </c>
    </row>
    <row r="58" spans="1:9" x14ac:dyDescent="0.25">
      <c r="A58" t="s">
        <v>56</v>
      </c>
      <c r="B58" s="3">
        <v>43</v>
      </c>
      <c r="C58" s="3">
        <v>0</v>
      </c>
      <c r="D58" s="3">
        <v>0</v>
      </c>
      <c r="E58" s="3">
        <v>0</v>
      </c>
      <c r="F58" s="5">
        <f t="shared" si="2"/>
        <v>0</v>
      </c>
      <c r="G58" s="3">
        <v>150</v>
      </c>
      <c r="H58" s="3">
        <f t="shared" si="1"/>
        <v>0</v>
      </c>
      <c r="I58" s="3">
        <v>43</v>
      </c>
    </row>
    <row r="59" spans="1:9" x14ac:dyDescent="0.25">
      <c r="A59" t="s">
        <v>57</v>
      </c>
      <c r="B59" s="3">
        <v>14</v>
      </c>
      <c r="C59" s="3">
        <v>0</v>
      </c>
      <c r="D59" s="3">
        <v>0</v>
      </c>
      <c r="E59" s="3">
        <v>0</v>
      </c>
      <c r="F59" s="5">
        <f t="shared" si="2"/>
        <v>0</v>
      </c>
      <c r="G59" s="3">
        <v>220</v>
      </c>
      <c r="H59" s="3">
        <f t="shared" si="1"/>
        <v>0</v>
      </c>
      <c r="I59" s="3">
        <v>14</v>
      </c>
    </row>
    <row r="60" spans="1:9" x14ac:dyDescent="0.25">
      <c r="A60" t="s">
        <v>58</v>
      </c>
      <c r="B60" s="3">
        <v>21</v>
      </c>
      <c r="C60" s="3">
        <v>0</v>
      </c>
      <c r="D60" s="3">
        <v>0</v>
      </c>
      <c r="E60" s="3">
        <v>0</v>
      </c>
      <c r="F60" s="5">
        <f t="shared" si="2"/>
        <v>0</v>
      </c>
      <c r="G60" s="3">
        <v>160</v>
      </c>
      <c r="H60" s="3">
        <f t="shared" si="1"/>
        <v>0</v>
      </c>
      <c r="I60" s="3">
        <v>21</v>
      </c>
    </row>
    <row r="61" spans="1:9" x14ac:dyDescent="0.25">
      <c r="A61" t="s">
        <v>59</v>
      </c>
      <c r="B61" s="3">
        <v>21</v>
      </c>
      <c r="C61" s="3">
        <v>0</v>
      </c>
      <c r="D61" s="3">
        <v>0</v>
      </c>
      <c r="E61" s="3">
        <v>0</v>
      </c>
      <c r="F61" s="5">
        <f t="shared" si="2"/>
        <v>0</v>
      </c>
      <c r="G61" s="3">
        <v>180</v>
      </c>
      <c r="H61" s="3">
        <f t="shared" si="1"/>
        <v>0</v>
      </c>
      <c r="I61" s="3">
        <v>21</v>
      </c>
    </row>
    <row r="62" spans="1:9" x14ac:dyDescent="0.25">
      <c r="A62" t="s">
        <v>60</v>
      </c>
      <c r="B62" s="3">
        <v>0</v>
      </c>
      <c r="C62" s="3">
        <v>0</v>
      </c>
      <c r="D62" s="3">
        <v>0</v>
      </c>
      <c r="E62" s="3">
        <v>0</v>
      </c>
      <c r="F62" s="5">
        <f t="shared" si="2"/>
        <v>0</v>
      </c>
      <c r="G62" s="3">
        <v>0</v>
      </c>
      <c r="H62" s="3">
        <f t="shared" si="1"/>
        <v>0</v>
      </c>
      <c r="I62" s="3">
        <v>0</v>
      </c>
    </row>
    <row r="63" spans="1:9" x14ac:dyDescent="0.25">
      <c r="A63" t="s">
        <v>61</v>
      </c>
      <c r="B63">
        <v>31</v>
      </c>
      <c r="C63" s="3">
        <v>0</v>
      </c>
      <c r="D63" s="3">
        <v>0</v>
      </c>
      <c r="E63" s="3">
        <v>0</v>
      </c>
      <c r="F63" s="5">
        <f t="shared" si="2"/>
        <v>7</v>
      </c>
      <c r="G63">
        <v>350</v>
      </c>
      <c r="H63" s="3">
        <f t="shared" si="1"/>
        <v>2450</v>
      </c>
      <c r="I63">
        <v>24</v>
      </c>
    </row>
    <row r="64" spans="1:9" x14ac:dyDescent="0.25">
      <c r="A64" t="s">
        <v>62</v>
      </c>
      <c r="B64" s="3">
        <v>3</v>
      </c>
      <c r="C64" s="3">
        <v>0</v>
      </c>
      <c r="D64" s="3">
        <v>0</v>
      </c>
      <c r="E64" s="3">
        <v>0</v>
      </c>
      <c r="F64" s="5">
        <f t="shared" si="2"/>
        <v>1</v>
      </c>
      <c r="G64" s="3">
        <v>3200</v>
      </c>
      <c r="H64" s="3">
        <f t="shared" si="1"/>
        <v>3200</v>
      </c>
      <c r="I64" s="3">
        <v>2</v>
      </c>
    </row>
    <row r="65" spans="1:9" x14ac:dyDescent="0.25">
      <c r="A65" t="s">
        <v>63</v>
      </c>
      <c r="B65" s="3">
        <v>37</v>
      </c>
      <c r="C65" s="3">
        <v>0</v>
      </c>
      <c r="D65" s="3">
        <v>0</v>
      </c>
      <c r="E65" s="3">
        <v>0</v>
      </c>
      <c r="F65" s="5">
        <f t="shared" si="2"/>
        <v>3</v>
      </c>
      <c r="G65" s="3">
        <v>850</v>
      </c>
      <c r="H65" s="3">
        <f t="shared" si="1"/>
        <v>2550</v>
      </c>
      <c r="I65" s="3">
        <v>34</v>
      </c>
    </row>
    <row r="66" spans="1:9" x14ac:dyDescent="0.25">
      <c r="A66" t="s">
        <v>64</v>
      </c>
      <c r="B66" s="3">
        <v>0</v>
      </c>
      <c r="C66" s="3">
        <v>0</v>
      </c>
      <c r="D66" s="3">
        <v>0</v>
      </c>
      <c r="E66" s="3">
        <v>0</v>
      </c>
      <c r="F66" s="5">
        <f t="shared" ref="F66:F87" si="3">B66+C66-D66-E66-I66</f>
        <v>0</v>
      </c>
      <c r="G66" s="3">
        <v>0</v>
      </c>
      <c r="H66" s="3">
        <f t="shared" si="1"/>
        <v>0</v>
      </c>
      <c r="I66" s="3">
        <v>0</v>
      </c>
    </row>
    <row r="67" spans="1:9" x14ac:dyDescent="0.25">
      <c r="A67" t="s">
        <v>65</v>
      </c>
      <c r="B67" s="3">
        <v>27</v>
      </c>
      <c r="C67" s="3">
        <v>0</v>
      </c>
      <c r="D67" s="3">
        <v>0</v>
      </c>
      <c r="E67" s="3">
        <v>0</v>
      </c>
      <c r="F67" s="5">
        <f t="shared" si="3"/>
        <v>3</v>
      </c>
      <c r="G67" s="3">
        <v>750</v>
      </c>
      <c r="H67" s="3">
        <f t="shared" ref="H67:H87" si="4">F67*G67</f>
        <v>2250</v>
      </c>
      <c r="I67" s="3">
        <v>24</v>
      </c>
    </row>
    <row r="68" spans="1:9" x14ac:dyDescent="0.25">
      <c r="A68" t="s">
        <v>66</v>
      </c>
      <c r="B68" s="3">
        <v>0</v>
      </c>
      <c r="C68" s="3">
        <v>0</v>
      </c>
      <c r="D68" s="3">
        <v>0</v>
      </c>
      <c r="E68" s="3">
        <v>0</v>
      </c>
      <c r="F68" s="5">
        <f t="shared" si="3"/>
        <v>0</v>
      </c>
      <c r="G68" s="3">
        <v>0</v>
      </c>
      <c r="H68" s="3">
        <f t="shared" si="4"/>
        <v>0</v>
      </c>
      <c r="I68" s="3">
        <v>0</v>
      </c>
    </row>
    <row r="69" spans="1:9" x14ac:dyDescent="0.25">
      <c r="A69" t="s">
        <v>67</v>
      </c>
      <c r="B69" s="3">
        <v>0</v>
      </c>
      <c r="C69" s="3">
        <v>0</v>
      </c>
      <c r="D69" s="3">
        <v>0</v>
      </c>
      <c r="E69" s="3">
        <v>0</v>
      </c>
      <c r="F69" s="5">
        <f t="shared" si="3"/>
        <v>0</v>
      </c>
      <c r="G69" s="3">
        <v>0</v>
      </c>
      <c r="H69" s="3">
        <f t="shared" si="4"/>
        <v>0</v>
      </c>
      <c r="I69" s="3">
        <v>0</v>
      </c>
    </row>
    <row r="70" spans="1:9" x14ac:dyDescent="0.25">
      <c r="A70" t="s">
        <v>68</v>
      </c>
      <c r="B70" s="3">
        <v>30</v>
      </c>
      <c r="C70" s="3">
        <v>0</v>
      </c>
      <c r="D70" s="3">
        <v>0</v>
      </c>
      <c r="E70" s="3">
        <v>0</v>
      </c>
      <c r="F70" s="5">
        <f t="shared" si="3"/>
        <v>1</v>
      </c>
      <c r="G70" s="3">
        <v>80</v>
      </c>
      <c r="H70" s="3">
        <f t="shared" si="4"/>
        <v>80</v>
      </c>
      <c r="I70" s="3">
        <v>29</v>
      </c>
    </row>
    <row r="71" spans="1:9" x14ac:dyDescent="0.25">
      <c r="A71" t="s">
        <v>69</v>
      </c>
      <c r="B71" s="3">
        <v>45</v>
      </c>
      <c r="C71" s="3">
        <v>0</v>
      </c>
      <c r="D71" s="3">
        <v>0</v>
      </c>
      <c r="E71" s="3">
        <v>0</v>
      </c>
      <c r="F71" s="5">
        <f t="shared" si="3"/>
        <v>3</v>
      </c>
      <c r="G71" s="3">
        <v>80</v>
      </c>
      <c r="H71" s="3">
        <f t="shared" si="4"/>
        <v>240</v>
      </c>
      <c r="I71" s="3">
        <v>42</v>
      </c>
    </row>
    <row r="72" spans="1:9" x14ac:dyDescent="0.25">
      <c r="A72" t="s">
        <v>70</v>
      </c>
      <c r="B72" s="3">
        <v>9</v>
      </c>
      <c r="C72" s="3">
        <v>0</v>
      </c>
      <c r="D72" s="3">
        <v>0</v>
      </c>
      <c r="E72" s="3">
        <v>0</v>
      </c>
      <c r="F72" s="5">
        <f t="shared" si="3"/>
        <v>0</v>
      </c>
      <c r="G72" s="3">
        <v>1300</v>
      </c>
      <c r="H72" s="3">
        <f t="shared" si="4"/>
        <v>0</v>
      </c>
      <c r="I72" s="3">
        <v>9</v>
      </c>
    </row>
    <row r="73" spans="1:9" x14ac:dyDescent="0.25">
      <c r="A73" t="s">
        <v>71</v>
      </c>
      <c r="B73" s="3">
        <v>12</v>
      </c>
      <c r="C73" s="3">
        <v>0</v>
      </c>
      <c r="D73" s="3">
        <v>0</v>
      </c>
      <c r="E73" s="3">
        <v>0</v>
      </c>
      <c r="F73" s="5">
        <f t="shared" si="3"/>
        <v>0</v>
      </c>
      <c r="G73" s="3">
        <v>1100</v>
      </c>
      <c r="H73" s="3">
        <f t="shared" si="4"/>
        <v>0</v>
      </c>
      <c r="I73" s="3">
        <v>12</v>
      </c>
    </row>
    <row r="74" spans="1:9" x14ac:dyDescent="0.25">
      <c r="A74" t="s">
        <v>72</v>
      </c>
      <c r="B74" s="3">
        <v>8</v>
      </c>
      <c r="C74" s="3">
        <v>0</v>
      </c>
      <c r="D74" s="3">
        <v>0</v>
      </c>
      <c r="E74" s="3">
        <v>0</v>
      </c>
      <c r="F74" s="5">
        <f t="shared" si="3"/>
        <v>0</v>
      </c>
      <c r="G74" s="3">
        <v>1050</v>
      </c>
      <c r="H74" s="3">
        <f t="shared" si="4"/>
        <v>0</v>
      </c>
      <c r="I74" s="3">
        <v>8</v>
      </c>
    </row>
    <row r="75" spans="1:9" x14ac:dyDescent="0.25">
      <c r="A75" t="s">
        <v>73</v>
      </c>
      <c r="B75" s="3">
        <v>5</v>
      </c>
      <c r="C75" s="3">
        <v>0</v>
      </c>
      <c r="D75" s="3">
        <v>0</v>
      </c>
      <c r="E75" s="3">
        <v>0</v>
      </c>
      <c r="F75" s="5">
        <f t="shared" si="3"/>
        <v>1</v>
      </c>
      <c r="G75" s="3">
        <v>0</v>
      </c>
      <c r="H75" s="3">
        <f t="shared" si="4"/>
        <v>0</v>
      </c>
      <c r="I75" s="3">
        <v>4</v>
      </c>
    </row>
    <row r="76" spans="1:9" x14ac:dyDescent="0.25">
      <c r="A76" t="s">
        <v>74</v>
      </c>
      <c r="B76" s="3">
        <v>14.1</v>
      </c>
      <c r="C76" s="3">
        <v>0</v>
      </c>
      <c r="D76" s="3">
        <v>0</v>
      </c>
      <c r="E76" s="3">
        <v>0</v>
      </c>
      <c r="F76" s="5">
        <f t="shared" si="3"/>
        <v>14.1</v>
      </c>
      <c r="G76" s="3">
        <v>750</v>
      </c>
      <c r="H76" s="3">
        <f t="shared" si="4"/>
        <v>10575</v>
      </c>
      <c r="I76" s="3">
        <v>0</v>
      </c>
    </row>
    <row r="77" spans="1:9" x14ac:dyDescent="0.25">
      <c r="A77" t="s">
        <v>75</v>
      </c>
      <c r="B77" s="3">
        <v>60</v>
      </c>
      <c r="C77" s="3">
        <v>0</v>
      </c>
      <c r="D77" s="3">
        <v>0</v>
      </c>
      <c r="E77" s="3">
        <v>0</v>
      </c>
      <c r="F77" s="5">
        <f t="shared" si="3"/>
        <v>0</v>
      </c>
      <c r="G77" s="3">
        <v>70</v>
      </c>
      <c r="H77" s="3">
        <f t="shared" si="4"/>
        <v>0</v>
      </c>
      <c r="I77" s="3">
        <v>60</v>
      </c>
    </row>
    <row r="78" spans="1:9" x14ac:dyDescent="0.25">
      <c r="A78" t="s">
        <v>76</v>
      </c>
      <c r="B78" s="3">
        <v>12</v>
      </c>
      <c r="C78" s="3">
        <v>0</v>
      </c>
      <c r="D78" s="3">
        <v>0</v>
      </c>
      <c r="E78" s="3">
        <v>0</v>
      </c>
      <c r="F78" s="5">
        <f t="shared" si="3"/>
        <v>0</v>
      </c>
      <c r="G78" s="3">
        <v>800</v>
      </c>
      <c r="H78" s="3">
        <f t="shared" si="4"/>
        <v>0</v>
      </c>
      <c r="I78" s="3">
        <v>12</v>
      </c>
    </row>
    <row r="79" spans="1:9" x14ac:dyDescent="0.25">
      <c r="A79" t="s">
        <v>77</v>
      </c>
      <c r="B79" s="3">
        <v>22</v>
      </c>
      <c r="C79" s="3">
        <v>0</v>
      </c>
      <c r="D79" s="3">
        <v>0</v>
      </c>
      <c r="E79" s="3">
        <v>0</v>
      </c>
      <c r="F79" s="5">
        <f t="shared" si="3"/>
        <v>0</v>
      </c>
      <c r="G79" s="3">
        <v>850</v>
      </c>
      <c r="H79" s="3">
        <f t="shared" si="4"/>
        <v>0</v>
      </c>
      <c r="I79" s="3">
        <v>22</v>
      </c>
    </row>
    <row r="80" spans="1:9" x14ac:dyDescent="0.25">
      <c r="A80" t="s">
        <v>78</v>
      </c>
      <c r="B80" s="3">
        <v>12</v>
      </c>
      <c r="C80" s="3">
        <v>0</v>
      </c>
      <c r="D80" s="3">
        <v>0</v>
      </c>
      <c r="E80" s="3">
        <v>0</v>
      </c>
      <c r="F80" s="5">
        <f t="shared" si="3"/>
        <v>0</v>
      </c>
      <c r="G80" s="3">
        <v>2000</v>
      </c>
      <c r="H80" s="3">
        <f t="shared" si="4"/>
        <v>0</v>
      </c>
      <c r="I80" s="3">
        <v>12</v>
      </c>
    </row>
    <row r="81" spans="1:9" x14ac:dyDescent="0.25">
      <c r="A81" t="s">
        <v>79</v>
      </c>
      <c r="B81" s="3">
        <v>8</v>
      </c>
      <c r="C81" s="3">
        <v>0</v>
      </c>
      <c r="D81" s="3">
        <v>0</v>
      </c>
      <c r="E81" s="3">
        <v>0</v>
      </c>
      <c r="F81" s="5">
        <f t="shared" si="3"/>
        <v>0</v>
      </c>
      <c r="G81" s="3">
        <v>950</v>
      </c>
      <c r="H81" s="3">
        <f t="shared" si="4"/>
        <v>0</v>
      </c>
      <c r="I81" s="3">
        <v>8</v>
      </c>
    </row>
    <row r="82" spans="1:9" x14ac:dyDescent="0.25">
      <c r="A82" t="s">
        <v>80</v>
      </c>
      <c r="B82" s="3">
        <v>12</v>
      </c>
      <c r="C82" s="3">
        <v>0</v>
      </c>
      <c r="D82" s="3">
        <v>0</v>
      </c>
      <c r="E82" s="3">
        <v>0</v>
      </c>
      <c r="F82" s="5">
        <f t="shared" si="3"/>
        <v>0</v>
      </c>
      <c r="G82" s="3">
        <v>1850</v>
      </c>
      <c r="H82" s="3">
        <f t="shared" si="4"/>
        <v>0</v>
      </c>
      <c r="I82" s="3">
        <v>12</v>
      </c>
    </row>
    <row r="83" spans="1:9" x14ac:dyDescent="0.25">
      <c r="A83" t="s">
        <v>81</v>
      </c>
      <c r="B83" s="3">
        <v>18</v>
      </c>
      <c r="C83" s="3">
        <v>0</v>
      </c>
      <c r="D83" s="3">
        <v>0</v>
      </c>
      <c r="E83" s="3">
        <v>0</v>
      </c>
      <c r="F83" s="5">
        <f t="shared" si="3"/>
        <v>2</v>
      </c>
      <c r="G83" s="3">
        <v>460</v>
      </c>
      <c r="H83" s="3">
        <f t="shared" si="4"/>
        <v>920</v>
      </c>
      <c r="I83" s="3">
        <v>16</v>
      </c>
    </row>
    <row r="84" spans="1:9" x14ac:dyDescent="0.25">
      <c r="A84" t="s">
        <v>82</v>
      </c>
      <c r="B84" s="3">
        <v>4</v>
      </c>
      <c r="C84" s="3">
        <v>0</v>
      </c>
      <c r="D84" s="3">
        <v>0</v>
      </c>
      <c r="E84" s="3">
        <v>0</v>
      </c>
      <c r="F84" s="5">
        <f t="shared" si="3"/>
        <v>0</v>
      </c>
      <c r="G84" s="3">
        <v>380</v>
      </c>
      <c r="H84" s="3">
        <f t="shared" si="4"/>
        <v>0</v>
      </c>
      <c r="I84" s="3">
        <v>4</v>
      </c>
    </row>
    <row r="85" spans="1:9" x14ac:dyDescent="0.25">
      <c r="A85" t="s">
        <v>92</v>
      </c>
      <c r="B85" s="3">
        <v>8</v>
      </c>
      <c r="C85" s="3">
        <v>0</v>
      </c>
      <c r="D85" s="3">
        <v>0</v>
      </c>
      <c r="E85" s="3">
        <v>0</v>
      </c>
      <c r="F85" s="5">
        <f t="shared" si="3"/>
        <v>1</v>
      </c>
      <c r="G85" s="3">
        <v>1150</v>
      </c>
      <c r="H85" s="3">
        <f t="shared" si="4"/>
        <v>1150</v>
      </c>
      <c r="I85" s="3">
        <v>7</v>
      </c>
    </row>
    <row r="86" spans="1:9" x14ac:dyDescent="0.25">
      <c r="A86" t="s">
        <v>93</v>
      </c>
      <c r="B86" s="3">
        <v>0</v>
      </c>
      <c r="C86" s="3">
        <v>15</v>
      </c>
      <c r="D86" s="3">
        <v>0</v>
      </c>
      <c r="E86" s="3">
        <v>0</v>
      </c>
      <c r="F86" s="5">
        <f t="shared" si="3"/>
        <v>3</v>
      </c>
      <c r="G86" s="3">
        <v>680</v>
      </c>
      <c r="H86" s="3">
        <f t="shared" si="4"/>
        <v>2040</v>
      </c>
      <c r="I86" s="3">
        <v>12</v>
      </c>
    </row>
    <row r="87" spans="1:9" x14ac:dyDescent="0.25">
      <c r="A87" t="s">
        <v>94</v>
      </c>
      <c r="B87" s="3">
        <v>0</v>
      </c>
      <c r="C87" s="3">
        <v>130</v>
      </c>
      <c r="D87" s="3">
        <v>0</v>
      </c>
      <c r="E87" s="3">
        <v>0</v>
      </c>
      <c r="F87" s="5">
        <f t="shared" si="3"/>
        <v>3</v>
      </c>
      <c r="G87" s="3">
        <v>220</v>
      </c>
      <c r="H87" s="3">
        <f t="shared" si="4"/>
        <v>660</v>
      </c>
      <c r="I87" s="3">
        <v>127</v>
      </c>
    </row>
    <row r="88" spans="1:9" x14ac:dyDescent="0.25">
      <c r="A88" t="s">
        <v>83</v>
      </c>
      <c r="H88" s="3">
        <f>SUM(H2:H87)</f>
        <v>120575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DD40-C4D8-4EE5-B237-AEAA728F59D1}">
  <dimension ref="A2:I99"/>
  <sheetViews>
    <sheetView workbookViewId="0">
      <selection activeCell="A99" sqref="A99"/>
    </sheetView>
  </sheetViews>
  <sheetFormatPr baseColWidth="10" defaultRowHeight="15" x14ac:dyDescent="0.25"/>
  <cols>
    <col min="1" max="1" width="26" customWidth="1"/>
    <col min="2" max="2" width="13.42578125" style="8" customWidth="1"/>
    <col min="3" max="3" width="11.42578125" style="11"/>
    <col min="4" max="4" width="11.42578125" style="26"/>
    <col min="5" max="5" width="11.42578125" style="29"/>
    <col min="6" max="6" width="11.42578125" style="14"/>
    <col min="7" max="7" width="11.42578125" style="23"/>
    <col min="8" max="8" width="11.42578125" style="20"/>
    <col min="9" max="9" width="11.42578125" style="17"/>
  </cols>
  <sheetData>
    <row r="2" spans="1:9" x14ac:dyDescent="0.25">
      <c r="A2" s="1" t="s">
        <v>0</v>
      </c>
      <c r="B2" s="6" t="s">
        <v>84</v>
      </c>
      <c r="C2" s="9" t="s">
        <v>85</v>
      </c>
      <c r="D2" s="24" t="s">
        <v>86</v>
      </c>
      <c r="E2" s="27" t="s">
        <v>87</v>
      </c>
      <c r="F2" s="12" t="s">
        <v>88</v>
      </c>
      <c r="G2" s="21" t="s">
        <v>89</v>
      </c>
      <c r="H2" s="18" t="s">
        <v>90</v>
      </c>
      <c r="I2" s="15" t="s">
        <v>91</v>
      </c>
    </row>
    <row r="3" spans="1:9" x14ac:dyDescent="0.25">
      <c r="A3" t="s">
        <v>1</v>
      </c>
      <c r="B3" s="7">
        <v>3</v>
      </c>
      <c r="C3" s="10">
        <v>0</v>
      </c>
      <c r="D3" s="25">
        <v>0</v>
      </c>
      <c r="E3" s="28">
        <v>0</v>
      </c>
      <c r="F3" s="13">
        <v>0</v>
      </c>
      <c r="G3" s="22">
        <v>850</v>
      </c>
      <c r="H3" s="19">
        <f>F3*G3</f>
        <v>0</v>
      </c>
      <c r="I3" s="16">
        <f>B3+C3-F3-D3-E3</f>
        <v>3</v>
      </c>
    </row>
    <row r="4" spans="1:9" x14ac:dyDescent="0.25">
      <c r="A4" t="s">
        <v>2</v>
      </c>
      <c r="B4" s="7">
        <v>13</v>
      </c>
      <c r="C4" s="10">
        <v>0</v>
      </c>
      <c r="D4" s="25">
        <v>0</v>
      </c>
      <c r="E4" s="28">
        <v>0</v>
      </c>
      <c r="F4" s="13">
        <v>0</v>
      </c>
      <c r="G4" s="22">
        <v>550</v>
      </c>
      <c r="H4" s="19">
        <f t="shared" ref="H4:H72" si="0">F4*G4</f>
        <v>0</v>
      </c>
      <c r="I4" s="16">
        <f t="shared" ref="I4:I71" si="1">B4+C4-F4-D4-E4</f>
        <v>13</v>
      </c>
    </row>
    <row r="5" spans="1:9" x14ac:dyDescent="0.25">
      <c r="A5" t="s">
        <v>3</v>
      </c>
      <c r="B5" s="7">
        <v>13</v>
      </c>
      <c r="C5" s="10">
        <v>0</v>
      </c>
      <c r="D5" s="25">
        <v>0</v>
      </c>
      <c r="E5" s="28">
        <v>0</v>
      </c>
      <c r="F5" s="13">
        <v>0</v>
      </c>
      <c r="G5" s="22">
        <v>550</v>
      </c>
      <c r="H5" s="19">
        <f t="shared" si="0"/>
        <v>0</v>
      </c>
      <c r="I5" s="16">
        <f t="shared" si="1"/>
        <v>13</v>
      </c>
    </row>
    <row r="6" spans="1:9" x14ac:dyDescent="0.25">
      <c r="A6" t="s">
        <v>110</v>
      </c>
      <c r="B6" s="7">
        <v>0</v>
      </c>
      <c r="C6" s="10">
        <v>0</v>
      </c>
      <c r="D6" s="25">
        <v>0</v>
      </c>
      <c r="E6" s="28">
        <v>0</v>
      </c>
      <c r="F6" s="13">
        <v>0</v>
      </c>
      <c r="G6" s="22">
        <v>1600</v>
      </c>
      <c r="H6" s="19">
        <f t="shared" si="0"/>
        <v>0</v>
      </c>
      <c r="I6" s="16">
        <f t="shared" si="1"/>
        <v>0</v>
      </c>
    </row>
    <row r="7" spans="1:9" x14ac:dyDescent="0.25">
      <c r="A7" t="s">
        <v>109</v>
      </c>
      <c r="B7" s="7">
        <v>2</v>
      </c>
      <c r="C7" s="10">
        <v>0</v>
      </c>
      <c r="D7" s="25">
        <v>0</v>
      </c>
      <c r="E7" s="28">
        <v>0</v>
      </c>
      <c r="F7" s="13">
        <v>0</v>
      </c>
      <c r="G7" s="22">
        <v>1400</v>
      </c>
      <c r="H7" s="19">
        <f t="shared" si="0"/>
        <v>0</v>
      </c>
      <c r="I7" s="16">
        <f t="shared" si="1"/>
        <v>2</v>
      </c>
    </row>
    <row r="8" spans="1:9" x14ac:dyDescent="0.25">
      <c r="A8" t="s">
        <v>95</v>
      </c>
      <c r="B8" s="7">
        <v>0</v>
      </c>
      <c r="C8" s="10">
        <v>0</v>
      </c>
      <c r="D8" s="25">
        <v>0</v>
      </c>
      <c r="E8" s="28">
        <v>0</v>
      </c>
      <c r="F8" s="13">
        <v>0</v>
      </c>
      <c r="G8" s="22">
        <v>1400</v>
      </c>
      <c r="H8" s="19">
        <f t="shared" si="0"/>
        <v>0</v>
      </c>
      <c r="I8" s="16">
        <f t="shared" si="1"/>
        <v>0</v>
      </c>
    </row>
    <row r="9" spans="1:9" x14ac:dyDescent="0.25">
      <c r="A9" t="s">
        <v>6</v>
      </c>
      <c r="B9" s="7">
        <v>0</v>
      </c>
      <c r="C9" s="10">
        <v>0</v>
      </c>
      <c r="D9" s="25">
        <v>0</v>
      </c>
      <c r="E9" s="28">
        <v>0</v>
      </c>
      <c r="F9" s="13">
        <v>0</v>
      </c>
      <c r="G9" s="22">
        <v>550</v>
      </c>
      <c r="H9" s="19">
        <f t="shared" si="0"/>
        <v>0</v>
      </c>
      <c r="I9" s="16">
        <f t="shared" si="1"/>
        <v>0</v>
      </c>
    </row>
    <row r="10" spans="1:9" x14ac:dyDescent="0.25">
      <c r="A10" t="s">
        <v>108</v>
      </c>
      <c r="B10" s="7">
        <v>0</v>
      </c>
      <c r="C10" s="10">
        <v>0</v>
      </c>
      <c r="D10" s="25">
        <v>0</v>
      </c>
      <c r="E10" s="28">
        <v>0</v>
      </c>
      <c r="F10" s="13">
        <v>0</v>
      </c>
      <c r="G10" s="22">
        <v>550</v>
      </c>
      <c r="H10" s="19">
        <f t="shared" si="0"/>
        <v>0</v>
      </c>
      <c r="I10" s="16">
        <f t="shared" si="1"/>
        <v>0</v>
      </c>
    </row>
    <row r="11" spans="1:9" x14ac:dyDescent="0.25">
      <c r="A11" t="s">
        <v>8</v>
      </c>
      <c r="B11" s="7">
        <v>13</v>
      </c>
      <c r="C11" s="10">
        <v>0</v>
      </c>
      <c r="D11" s="25">
        <v>0</v>
      </c>
      <c r="E11" s="28">
        <v>0</v>
      </c>
      <c r="F11" s="13">
        <v>0</v>
      </c>
      <c r="G11" s="22">
        <v>550</v>
      </c>
      <c r="H11" s="19">
        <f t="shared" si="0"/>
        <v>0</v>
      </c>
      <c r="I11" s="16">
        <f>B11+C11-F11-D11-E11</f>
        <v>13</v>
      </c>
    </row>
    <row r="12" spans="1:9" x14ac:dyDescent="0.25">
      <c r="A12" t="s">
        <v>106</v>
      </c>
      <c r="B12" s="7">
        <v>33</v>
      </c>
      <c r="C12" s="10">
        <v>0</v>
      </c>
      <c r="D12" s="25">
        <v>0</v>
      </c>
      <c r="E12" s="28">
        <v>0</v>
      </c>
      <c r="F12" s="13">
        <v>0</v>
      </c>
      <c r="G12" s="22">
        <v>600</v>
      </c>
      <c r="H12" s="19">
        <f t="shared" si="0"/>
        <v>0</v>
      </c>
      <c r="I12" s="16">
        <f>B12+C12-F12-D12-E12</f>
        <v>33</v>
      </c>
    </row>
    <row r="13" spans="1:9" x14ac:dyDescent="0.25">
      <c r="A13" t="s">
        <v>9</v>
      </c>
      <c r="B13" s="7">
        <v>24</v>
      </c>
      <c r="C13" s="10">
        <v>0</v>
      </c>
      <c r="D13" s="25">
        <v>0</v>
      </c>
      <c r="E13" s="28">
        <v>0</v>
      </c>
      <c r="F13" s="13">
        <v>0</v>
      </c>
      <c r="G13" s="22">
        <v>550</v>
      </c>
      <c r="H13" s="19">
        <f t="shared" si="0"/>
        <v>0</v>
      </c>
      <c r="I13" s="16">
        <f t="shared" si="1"/>
        <v>24</v>
      </c>
    </row>
    <row r="14" spans="1:9" x14ac:dyDescent="0.25">
      <c r="A14" t="s">
        <v>103</v>
      </c>
      <c r="B14" s="7">
        <v>7</v>
      </c>
      <c r="C14" s="10">
        <v>0</v>
      </c>
      <c r="D14" s="25">
        <v>0</v>
      </c>
      <c r="E14" s="28">
        <v>0</v>
      </c>
      <c r="F14" s="13">
        <v>0</v>
      </c>
      <c r="G14" s="22">
        <v>600</v>
      </c>
      <c r="H14" s="19">
        <f t="shared" si="0"/>
        <v>0</v>
      </c>
      <c r="I14" s="16">
        <f t="shared" si="1"/>
        <v>7</v>
      </c>
    </row>
    <row r="15" spans="1:9" x14ac:dyDescent="0.25">
      <c r="A15" t="s">
        <v>10</v>
      </c>
      <c r="B15" s="7">
        <v>0</v>
      </c>
      <c r="C15" s="10">
        <v>0</v>
      </c>
      <c r="D15" s="25">
        <v>0</v>
      </c>
      <c r="E15" s="28">
        <v>0</v>
      </c>
      <c r="F15" s="13">
        <v>0</v>
      </c>
      <c r="G15" s="22">
        <v>550</v>
      </c>
      <c r="H15" s="19">
        <f t="shared" si="0"/>
        <v>0</v>
      </c>
      <c r="I15" s="16">
        <f t="shared" si="1"/>
        <v>0</v>
      </c>
    </row>
    <row r="16" spans="1:9" x14ac:dyDescent="0.25">
      <c r="A16" t="s">
        <v>11</v>
      </c>
      <c r="B16" s="7">
        <v>0</v>
      </c>
      <c r="C16" s="10">
        <v>0</v>
      </c>
      <c r="D16" s="25">
        <v>0</v>
      </c>
      <c r="E16" s="28">
        <v>0</v>
      </c>
      <c r="F16" s="13">
        <v>0</v>
      </c>
      <c r="G16" s="22">
        <v>550</v>
      </c>
      <c r="H16" s="19">
        <f t="shared" si="0"/>
        <v>0</v>
      </c>
      <c r="I16" s="16">
        <f t="shared" si="1"/>
        <v>0</v>
      </c>
    </row>
    <row r="17" spans="1:9" x14ac:dyDescent="0.25">
      <c r="A17" t="s">
        <v>12</v>
      </c>
      <c r="B17" s="7">
        <v>0</v>
      </c>
      <c r="C17" s="10">
        <v>0</v>
      </c>
      <c r="D17" s="25">
        <v>0</v>
      </c>
      <c r="E17" s="28">
        <v>0</v>
      </c>
      <c r="F17" s="13">
        <v>0</v>
      </c>
      <c r="G17" s="22">
        <v>550</v>
      </c>
      <c r="H17" s="19">
        <f t="shared" si="0"/>
        <v>0</v>
      </c>
      <c r="I17" s="16">
        <f t="shared" si="1"/>
        <v>0</v>
      </c>
    </row>
    <row r="18" spans="1:9" x14ac:dyDescent="0.25">
      <c r="A18" t="s">
        <v>13</v>
      </c>
      <c r="B18" s="7">
        <v>18</v>
      </c>
      <c r="C18" s="10">
        <v>0</v>
      </c>
      <c r="D18" s="25">
        <v>0</v>
      </c>
      <c r="E18" s="28">
        <v>0</v>
      </c>
      <c r="F18" s="13">
        <v>0</v>
      </c>
      <c r="G18" s="22">
        <v>300</v>
      </c>
      <c r="H18" s="19">
        <f t="shared" si="0"/>
        <v>0</v>
      </c>
      <c r="I18" s="16">
        <f t="shared" si="1"/>
        <v>18</v>
      </c>
    </row>
    <row r="19" spans="1:9" x14ac:dyDescent="0.25">
      <c r="A19" t="s">
        <v>14</v>
      </c>
      <c r="B19" s="7">
        <v>8</v>
      </c>
      <c r="C19" s="10">
        <v>0</v>
      </c>
      <c r="D19" s="25">
        <v>0</v>
      </c>
      <c r="E19" s="28">
        <v>0</v>
      </c>
      <c r="F19" s="13">
        <v>0</v>
      </c>
      <c r="G19" s="22">
        <v>500</v>
      </c>
      <c r="H19" s="19">
        <f t="shared" si="0"/>
        <v>0</v>
      </c>
      <c r="I19" s="16">
        <f t="shared" si="1"/>
        <v>8</v>
      </c>
    </row>
    <row r="20" spans="1:9" x14ac:dyDescent="0.25">
      <c r="A20" t="s">
        <v>104</v>
      </c>
      <c r="B20" s="7">
        <v>3</v>
      </c>
      <c r="C20" s="10">
        <v>4</v>
      </c>
      <c r="D20" s="25">
        <v>0</v>
      </c>
      <c r="E20" s="28">
        <v>0</v>
      </c>
      <c r="F20" s="13">
        <v>0</v>
      </c>
      <c r="G20" s="22">
        <v>1000</v>
      </c>
      <c r="H20" s="19">
        <f t="shared" si="0"/>
        <v>0</v>
      </c>
      <c r="I20" s="16">
        <f t="shared" si="1"/>
        <v>7</v>
      </c>
    </row>
    <row r="21" spans="1:9" x14ac:dyDescent="0.25">
      <c r="A21" t="s">
        <v>105</v>
      </c>
      <c r="B21" s="7">
        <v>3</v>
      </c>
      <c r="C21" s="10">
        <v>4</v>
      </c>
      <c r="D21" s="25">
        <v>0</v>
      </c>
      <c r="E21" s="28">
        <v>0</v>
      </c>
      <c r="F21" s="13">
        <v>3</v>
      </c>
      <c r="G21" s="22">
        <v>1000</v>
      </c>
      <c r="H21" s="19">
        <f t="shared" si="0"/>
        <v>3000</v>
      </c>
      <c r="I21" s="16">
        <f t="shared" si="1"/>
        <v>4</v>
      </c>
    </row>
    <row r="22" spans="1:9" x14ac:dyDescent="0.25">
      <c r="A22" t="s">
        <v>112</v>
      </c>
      <c r="B22" s="7">
        <v>0</v>
      </c>
      <c r="C22" s="10">
        <v>0</v>
      </c>
      <c r="D22" s="25">
        <v>0</v>
      </c>
      <c r="E22" s="28">
        <v>0</v>
      </c>
      <c r="F22" s="13">
        <v>0</v>
      </c>
      <c r="G22" s="22">
        <v>1300</v>
      </c>
      <c r="H22" s="19">
        <f t="shared" si="0"/>
        <v>0</v>
      </c>
      <c r="I22" s="16">
        <f t="shared" si="1"/>
        <v>0</v>
      </c>
    </row>
    <row r="23" spans="1:9" x14ac:dyDescent="0.25">
      <c r="A23" t="s">
        <v>16</v>
      </c>
      <c r="B23" s="7">
        <v>0</v>
      </c>
      <c r="C23" s="10">
        <v>0</v>
      </c>
      <c r="D23" s="25">
        <v>0</v>
      </c>
      <c r="E23" s="28">
        <v>0</v>
      </c>
      <c r="F23" s="13">
        <v>0</v>
      </c>
      <c r="G23" s="22">
        <v>0</v>
      </c>
      <c r="H23" s="19">
        <f t="shared" si="0"/>
        <v>0</v>
      </c>
      <c r="I23" s="16">
        <f t="shared" si="1"/>
        <v>0</v>
      </c>
    </row>
    <row r="24" spans="1:9" x14ac:dyDescent="0.25">
      <c r="A24" t="s">
        <v>17</v>
      </c>
      <c r="B24" s="7">
        <v>6</v>
      </c>
      <c r="C24" s="10">
        <v>0</v>
      </c>
      <c r="D24" s="25">
        <v>0</v>
      </c>
      <c r="E24" s="28">
        <v>0</v>
      </c>
      <c r="F24" s="13">
        <v>0</v>
      </c>
      <c r="G24" s="22">
        <v>950</v>
      </c>
      <c r="H24" s="19">
        <f t="shared" si="0"/>
        <v>0</v>
      </c>
      <c r="I24" s="16">
        <f t="shared" si="1"/>
        <v>6</v>
      </c>
    </row>
    <row r="25" spans="1:9" x14ac:dyDescent="0.25">
      <c r="A25" t="s">
        <v>18</v>
      </c>
      <c r="B25" s="7">
        <v>0</v>
      </c>
      <c r="C25" s="10">
        <v>0</v>
      </c>
      <c r="D25" s="25">
        <v>0</v>
      </c>
      <c r="E25" s="28">
        <v>0</v>
      </c>
      <c r="F25" s="13">
        <v>0</v>
      </c>
      <c r="G25" s="22">
        <v>0</v>
      </c>
      <c r="H25" s="19">
        <f t="shared" si="0"/>
        <v>0</v>
      </c>
      <c r="I25" s="16">
        <f t="shared" si="1"/>
        <v>0</v>
      </c>
    </row>
    <row r="26" spans="1:9" x14ac:dyDescent="0.25">
      <c r="A26" t="s">
        <v>19</v>
      </c>
      <c r="B26" s="7">
        <v>0</v>
      </c>
      <c r="C26" s="10">
        <v>0</v>
      </c>
      <c r="D26" s="25">
        <v>0</v>
      </c>
      <c r="E26" s="28">
        <v>0</v>
      </c>
      <c r="F26" s="13">
        <v>0</v>
      </c>
      <c r="G26" s="22">
        <v>1200</v>
      </c>
      <c r="H26" s="19">
        <f t="shared" si="0"/>
        <v>0</v>
      </c>
      <c r="I26" s="16">
        <f t="shared" si="1"/>
        <v>0</v>
      </c>
    </row>
    <row r="27" spans="1:9" x14ac:dyDescent="0.25">
      <c r="A27" t="s">
        <v>20</v>
      </c>
      <c r="B27" s="7">
        <v>9</v>
      </c>
      <c r="C27" s="10">
        <v>0</v>
      </c>
      <c r="D27" s="25">
        <v>0</v>
      </c>
      <c r="E27" s="28">
        <v>0</v>
      </c>
      <c r="F27" s="13">
        <v>0</v>
      </c>
      <c r="G27" s="22">
        <v>1250</v>
      </c>
      <c r="H27" s="19">
        <f t="shared" si="0"/>
        <v>0</v>
      </c>
      <c r="I27" s="16">
        <f t="shared" si="1"/>
        <v>9</v>
      </c>
    </row>
    <row r="28" spans="1:9" x14ac:dyDescent="0.25">
      <c r="A28" t="s">
        <v>21</v>
      </c>
      <c r="B28" s="7">
        <v>14</v>
      </c>
      <c r="C28" s="10">
        <v>0</v>
      </c>
      <c r="D28" s="25">
        <v>0</v>
      </c>
      <c r="E28" s="28">
        <v>0</v>
      </c>
      <c r="F28" s="13">
        <v>0</v>
      </c>
      <c r="G28" s="22">
        <v>850</v>
      </c>
      <c r="H28" s="19">
        <f t="shared" si="0"/>
        <v>0</v>
      </c>
      <c r="I28" s="16">
        <f t="shared" si="1"/>
        <v>14</v>
      </c>
    </row>
    <row r="29" spans="1:9" x14ac:dyDescent="0.25">
      <c r="A29" t="s">
        <v>22</v>
      </c>
      <c r="B29" s="7">
        <v>13</v>
      </c>
      <c r="C29" s="10">
        <v>0</v>
      </c>
      <c r="D29" s="25">
        <v>0</v>
      </c>
      <c r="E29" s="28">
        <v>0</v>
      </c>
      <c r="F29" s="13">
        <v>0</v>
      </c>
      <c r="G29" s="22">
        <v>1800</v>
      </c>
      <c r="H29" s="19">
        <f t="shared" si="0"/>
        <v>0</v>
      </c>
      <c r="I29" s="16">
        <f t="shared" si="1"/>
        <v>13</v>
      </c>
    </row>
    <row r="30" spans="1:9" x14ac:dyDescent="0.25">
      <c r="A30" t="s">
        <v>23</v>
      </c>
      <c r="B30" s="7">
        <v>6</v>
      </c>
      <c r="C30" s="10">
        <v>0</v>
      </c>
      <c r="D30" s="25">
        <v>0</v>
      </c>
      <c r="E30" s="28">
        <v>0</v>
      </c>
      <c r="F30" s="13">
        <v>0</v>
      </c>
      <c r="G30" s="22">
        <v>1500</v>
      </c>
      <c r="H30" s="19">
        <f t="shared" si="0"/>
        <v>0</v>
      </c>
      <c r="I30" s="16">
        <f t="shared" si="1"/>
        <v>6</v>
      </c>
    </row>
    <row r="31" spans="1:9" x14ac:dyDescent="0.25">
      <c r="A31" t="s">
        <v>24</v>
      </c>
      <c r="B31" s="7">
        <v>5</v>
      </c>
      <c r="C31" s="10">
        <v>0</v>
      </c>
      <c r="D31" s="25">
        <v>0</v>
      </c>
      <c r="E31" s="28">
        <v>0</v>
      </c>
      <c r="F31" s="13">
        <v>0</v>
      </c>
      <c r="G31" s="22">
        <v>2900</v>
      </c>
      <c r="H31" s="19">
        <f t="shared" si="0"/>
        <v>0</v>
      </c>
      <c r="I31" s="16">
        <f t="shared" si="1"/>
        <v>5</v>
      </c>
    </row>
    <row r="32" spans="1:9" x14ac:dyDescent="0.25">
      <c r="A32" t="s">
        <v>25</v>
      </c>
      <c r="B32" s="7">
        <v>7</v>
      </c>
      <c r="C32" s="10">
        <v>0</v>
      </c>
      <c r="D32" s="25">
        <v>0</v>
      </c>
      <c r="E32" s="28">
        <v>0</v>
      </c>
      <c r="F32" s="13">
        <v>0</v>
      </c>
      <c r="G32" s="22">
        <v>800</v>
      </c>
      <c r="H32" s="19">
        <f t="shared" si="0"/>
        <v>0</v>
      </c>
      <c r="I32" s="16">
        <f t="shared" si="1"/>
        <v>7</v>
      </c>
    </row>
    <row r="33" spans="1:9" x14ac:dyDescent="0.25">
      <c r="A33" t="s">
        <v>26</v>
      </c>
      <c r="B33" s="7">
        <v>5</v>
      </c>
      <c r="C33" s="10">
        <v>0</v>
      </c>
      <c r="D33" s="25">
        <v>0</v>
      </c>
      <c r="E33" s="28">
        <v>0</v>
      </c>
      <c r="F33" s="13">
        <v>1</v>
      </c>
      <c r="G33" s="22">
        <v>1000</v>
      </c>
      <c r="H33" s="19">
        <f t="shared" si="0"/>
        <v>1000</v>
      </c>
      <c r="I33" s="16">
        <f t="shared" si="1"/>
        <v>4</v>
      </c>
    </row>
    <row r="34" spans="1:9" x14ac:dyDescent="0.25">
      <c r="A34" t="s">
        <v>27</v>
      </c>
      <c r="B34" s="7">
        <v>12</v>
      </c>
      <c r="C34" s="10">
        <v>0</v>
      </c>
      <c r="D34" s="25">
        <v>0</v>
      </c>
      <c r="E34" s="28">
        <v>0</v>
      </c>
      <c r="F34" s="13">
        <v>0</v>
      </c>
      <c r="G34" s="22">
        <v>350</v>
      </c>
      <c r="H34" s="19">
        <f t="shared" si="0"/>
        <v>0</v>
      </c>
      <c r="I34" s="16">
        <f t="shared" si="1"/>
        <v>12</v>
      </c>
    </row>
    <row r="35" spans="1:9" x14ac:dyDescent="0.25">
      <c r="A35" t="s">
        <v>28</v>
      </c>
      <c r="B35" s="7">
        <v>7</v>
      </c>
      <c r="C35" s="10">
        <v>0</v>
      </c>
      <c r="D35" s="25">
        <v>0</v>
      </c>
      <c r="E35" s="28">
        <v>0</v>
      </c>
      <c r="F35" s="13">
        <v>1</v>
      </c>
      <c r="G35" s="22">
        <v>900</v>
      </c>
      <c r="H35" s="19">
        <f t="shared" si="0"/>
        <v>900</v>
      </c>
      <c r="I35" s="16">
        <f t="shared" si="1"/>
        <v>6</v>
      </c>
    </row>
    <row r="36" spans="1:9" x14ac:dyDescent="0.25">
      <c r="A36" t="s">
        <v>29</v>
      </c>
      <c r="B36" s="7">
        <v>6</v>
      </c>
      <c r="C36" s="10">
        <v>0</v>
      </c>
      <c r="D36" s="25">
        <v>0</v>
      </c>
      <c r="E36" s="28">
        <v>0</v>
      </c>
      <c r="F36" s="13">
        <v>2</v>
      </c>
      <c r="G36" s="22">
        <v>1000</v>
      </c>
      <c r="H36" s="19">
        <f t="shared" si="0"/>
        <v>2000</v>
      </c>
      <c r="I36" s="16">
        <f t="shared" si="1"/>
        <v>4</v>
      </c>
    </row>
    <row r="37" spans="1:9" x14ac:dyDescent="0.25">
      <c r="A37" t="s">
        <v>30</v>
      </c>
      <c r="B37" s="7">
        <v>32</v>
      </c>
      <c r="C37" s="10">
        <v>0</v>
      </c>
      <c r="D37" s="25">
        <v>0</v>
      </c>
      <c r="E37" s="28">
        <v>0</v>
      </c>
      <c r="F37" s="13">
        <v>0</v>
      </c>
      <c r="G37" s="22">
        <v>800</v>
      </c>
      <c r="H37" s="19">
        <f t="shared" si="0"/>
        <v>0</v>
      </c>
      <c r="I37" s="16">
        <f t="shared" si="1"/>
        <v>32</v>
      </c>
    </row>
    <row r="38" spans="1:9" x14ac:dyDescent="0.25">
      <c r="A38" t="s">
        <v>31</v>
      </c>
      <c r="B38" s="7">
        <v>25</v>
      </c>
      <c r="C38" s="10">
        <v>0</v>
      </c>
      <c r="D38" s="25">
        <v>0</v>
      </c>
      <c r="E38" s="28">
        <v>0</v>
      </c>
      <c r="F38" s="13">
        <v>0</v>
      </c>
      <c r="G38" s="22">
        <v>550</v>
      </c>
      <c r="H38" s="19">
        <f t="shared" si="0"/>
        <v>0</v>
      </c>
      <c r="I38" s="16">
        <f t="shared" si="1"/>
        <v>25</v>
      </c>
    </row>
    <row r="39" spans="1:9" x14ac:dyDescent="0.25">
      <c r="A39" t="s">
        <v>32</v>
      </c>
      <c r="B39" s="7">
        <v>19</v>
      </c>
      <c r="C39" s="10">
        <v>0</v>
      </c>
      <c r="D39" s="25">
        <v>0</v>
      </c>
      <c r="E39" s="28">
        <v>0</v>
      </c>
      <c r="F39" s="13">
        <v>0</v>
      </c>
      <c r="G39" s="22">
        <v>250</v>
      </c>
      <c r="H39" s="19">
        <f t="shared" si="0"/>
        <v>0</v>
      </c>
      <c r="I39" s="16">
        <f t="shared" si="1"/>
        <v>19</v>
      </c>
    </row>
    <row r="40" spans="1:9" x14ac:dyDescent="0.25">
      <c r="A40" t="s">
        <v>33</v>
      </c>
      <c r="B40" s="7">
        <v>43</v>
      </c>
      <c r="C40" s="10">
        <v>0</v>
      </c>
      <c r="D40" s="25">
        <v>0</v>
      </c>
      <c r="E40" s="28">
        <v>0</v>
      </c>
      <c r="F40" s="13">
        <v>1</v>
      </c>
      <c r="G40" s="22">
        <v>10</v>
      </c>
      <c r="H40" s="19">
        <f t="shared" si="0"/>
        <v>10</v>
      </c>
      <c r="I40" s="16">
        <f t="shared" si="1"/>
        <v>42</v>
      </c>
    </row>
    <row r="41" spans="1:9" x14ac:dyDescent="0.25">
      <c r="A41" t="s">
        <v>34</v>
      </c>
      <c r="B41" s="7">
        <v>0</v>
      </c>
      <c r="C41" s="10">
        <v>0</v>
      </c>
      <c r="D41" s="25">
        <v>0</v>
      </c>
      <c r="E41" s="28">
        <v>0</v>
      </c>
      <c r="F41" s="13">
        <v>0</v>
      </c>
      <c r="G41" s="22">
        <v>2300</v>
      </c>
      <c r="H41" s="19">
        <f t="shared" si="0"/>
        <v>0</v>
      </c>
      <c r="I41" s="16">
        <f t="shared" si="1"/>
        <v>0</v>
      </c>
    </row>
    <row r="42" spans="1:9" x14ac:dyDescent="0.25">
      <c r="A42" t="s">
        <v>35</v>
      </c>
      <c r="B42" s="7">
        <v>1</v>
      </c>
      <c r="C42" s="10">
        <v>0</v>
      </c>
      <c r="D42" s="25">
        <v>0</v>
      </c>
      <c r="E42" s="28">
        <v>0</v>
      </c>
      <c r="F42" s="13">
        <v>0</v>
      </c>
      <c r="G42" s="22">
        <v>2320</v>
      </c>
      <c r="H42" s="19">
        <f t="shared" si="0"/>
        <v>0</v>
      </c>
      <c r="I42" s="16">
        <f t="shared" si="1"/>
        <v>1</v>
      </c>
    </row>
    <row r="43" spans="1:9" x14ac:dyDescent="0.25">
      <c r="A43" t="s">
        <v>36</v>
      </c>
      <c r="B43" s="7">
        <v>15</v>
      </c>
      <c r="C43" s="10">
        <v>0</v>
      </c>
      <c r="D43" s="25">
        <v>0</v>
      </c>
      <c r="E43" s="28">
        <v>0</v>
      </c>
      <c r="F43" s="13">
        <v>0</v>
      </c>
      <c r="G43" s="22">
        <v>350</v>
      </c>
      <c r="H43" s="19">
        <f t="shared" si="0"/>
        <v>0</v>
      </c>
      <c r="I43" s="16">
        <f t="shared" si="1"/>
        <v>15</v>
      </c>
    </row>
    <row r="44" spans="1:9" x14ac:dyDescent="0.25">
      <c r="A44" t="s">
        <v>37</v>
      </c>
      <c r="B44" s="7">
        <v>16</v>
      </c>
      <c r="C44" s="10">
        <v>0</v>
      </c>
      <c r="D44" s="25">
        <v>0</v>
      </c>
      <c r="E44" s="28">
        <v>0</v>
      </c>
      <c r="F44" s="13">
        <v>0</v>
      </c>
      <c r="G44" s="22">
        <v>380</v>
      </c>
      <c r="H44" s="19">
        <f t="shared" si="0"/>
        <v>0</v>
      </c>
      <c r="I44" s="16">
        <f t="shared" si="1"/>
        <v>16</v>
      </c>
    </row>
    <row r="45" spans="1:9" x14ac:dyDescent="0.25">
      <c r="A45" t="s">
        <v>100</v>
      </c>
      <c r="B45" s="7">
        <v>24</v>
      </c>
      <c r="C45" s="10">
        <v>0</v>
      </c>
      <c r="D45" s="25">
        <v>0</v>
      </c>
      <c r="E45" s="28">
        <v>0</v>
      </c>
      <c r="F45" s="13">
        <v>0</v>
      </c>
      <c r="G45" s="22">
        <v>400</v>
      </c>
      <c r="H45" s="19">
        <f t="shared" si="0"/>
        <v>0</v>
      </c>
      <c r="I45" s="16">
        <f t="shared" si="1"/>
        <v>24</v>
      </c>
    </row>
    <row r="46" spans="1:9" x14ac:dyDescent="0.25">
      <c r="A46" t="s">
        <v>39</v>
      </c>
      <c r="B46" s="7">
        <v>18</v>
      </c>
      <c r="C46" s="10">
        <v>0</v>
      </c>
      <c r="D46" s="25">
        <v>0</v>
      </c>
      <c r="E46" s="28">
        <v>0</v>
      </c>
      <c r="F46" s="13">
        <v>0</v>
      </c>
      <c r="G46" s="22">
        <v>650</v>
      </c>
      <c r="H46" s="19">
        <f t="shared" si="0"/>
        <v>0</v>
      </c>
      <c r="I46" s="16">
        <f t="shared" si="1"/>
        <v>18</v>
      </c>
    </row>
    <row r="47" spans="1:9" x14ac:dyDescent="0.25">
      <c r="A47" t="s">
        <v>40</v>
      </c>
      <c r="B47" s="7">
        <v>4</v>
      </c>
      <c r="C47" s="10">
        <v>0</v>
      </c>
      <c r="D47" s="25">
        <v>0</v>
      </c>
      <c r="E47" s="28">
        <v>0</v>
      </c>
      <c r="F47" s="13">
        <v>0</v>
      </c>
      <c r="G47" s="22">
        <v>1100</v>
      </c>
      <c r="H47" s="19">
        <f t="shared" si="0"/>
        <v>0</v>
      </c>
      <c r="I47" s="16">
        <f t="shared" si="1"/>
        <v>4</v>
      </c>
    </row>
    <row r="48" spans="1:9" x14ac:dyDescent="0.25">
      <c r="A48" t="s">
        <v>41</v>
      </c>
      <c r="B48" s="7">
        <v>77</v>
      </c>
      <c r="C48" s="10">
        <v>0</v>
      </c>
      <c r="D48" s="25">
        <v>0</v>
      </c>
      <c r="E48" s="28">
        <v>0</v>
      </c>
      <c r="F48" s="13">
        <v>0</v>
      </c>
      <c r="G48" s="22">
        <v>120</v>
      </c>
      <c r="H48" s="19">
        <f t="shared" si="0"/>
        <v>0</v>
      </c>
      <c r="I48" s="16">
        <f t="shared" si="1"/>
        <v>77</v>
      </c>
    </row>
    <row r="49" spans="1:9" x14ac:dyDescent="0.25">
      <c r="A49" t="s">
        <v>42</v>
      </c>
      <c r="B49" s="7">
        <v>0</v>
      </c>
      <c r="C49" s="10">
        <v>0</v>
      </c>
      <c r="D49" s="25">
        <v>0</v>
      </c>
      <c r="E49" s="28">
        <v>0</v>
      </c>
      <c r="F49" s="13">
        <v>0</v>
      </c>
      <c r="G49" s="22">
        <v>1400</v>
      </c>
      <c r="H49" s="19">
        <f t="shared" si="0"/>
        <v>0</v>
      </c>
      <c r="I49" s="16">
        <f t="shared" si="1"/>
        <v>0</v>
      </c>
    </row>
    <row r="50" spans="1:9" x14ac:dyDescent="0.25">
      <c r="A50" t="s">
        <v>107</v>
      </c>
      <c r="B50" s="7">
        <v>6</v>
      </c>
      <c r="C50" s="10">
        <v>0</v>
      </c>
      <c r="D50" s="25">
        <v>0</v>
      </c>
      <c r="E50" s="28">
        <v>0</v>
      </c>
      <c r="F50" s="13">
        <v>0</v>
      </c>
      <c r="G50" s="22">
        <v>220</v>
      </c>
      <c r="H50" s="19">
        <f t="shared" si="0"/>
        <v>0</v>
      </c>
      <c r="I50" s="16">
        <f t="shared" si="1"/>
        <v>6</v>
      </c>
    </row>
    <row r="51" spans="1:9" x14ac:dyDescent="0.25">
      <c r="A51" t="s">
        <v>44</v>
      </c>
      <c r="B51" s="7">
        <v>7</v>
      </c>
      <c r="C51" s="10">
        <v>0</v>
      </c>
      <c r="D51" s="25">
        <v>0</v>
      </c>
      <c r="E51" s="28">
        <v>0</v>
      </c>
      <c r="F51" s="13">
        <v>0</v>
      </c>
      <c r="G51" s="22">
        <v>800</v>
      </c>
      <c r="H51" s="19">
        <f t="shared" si="0"/>
        <v>0</v>
      </c>
      <c r="I51" s="16">
        <f t="shared" si="1"/>
        <v>7</v>
      </c>
    </row>
    <row r="52" spans="1:9" x14ac:dyDescent="0.25">
      <c r="A52" t="s">
        <v>45</v>
      </c>
      <c r="B52" s="7">
        <v>21</v>
      </c>
      <c r="C52" s="10">
        <v>0</v>
      </c>
      <c r="D52" s="25">
        <v>0</v>
      </c>
      <c r="E52" s="28">
        <v>0</v>
      </c>
      <c r="F52" s="13">
        <v>0</v>
      </c>
      <c r="G52" s="22">
        <v>70</v>
      </c>
      <c r="H52" s="19">
        <f t="shared" si="0"/>
        <v>0</v>
      </c>
      <c r="I52" s="16">
        <f t="shared" si="1"/>
        <v>21</v>
      </c>
    </row>
    <row r="53" spans="1:9" x14ac:dyDescent="0.25">
      <c r="A53" t="s">
        <v>46</v>
      </c>
      <c r="B53" s="7">
        <v>0</v>
      </c>
      <c r="C53" s="10">
        <v>0</v>
      </c>
      <c r="D53" s="25">
        <v>0</v>
      </c>
      <c r="E53" s="28">
        <v>0</v>
      </c>
      <c r="F53" s="13">
        <v>0</v>
      </c>
      <c r="G53" s="22">
        <v>300</v>
      </c>
      <c r="H53" s="19">
        <f t="shared" si="0"/>
        <v>0</v>
      </c>
      <c r="I53" s="16">
        <f t="shared" si="1"/>
        <v>0</v>
      </c>
    </row>
    <row r="54" spans="1:9" x14ac:dyDescent="0.25">
      <c r="A54" t="s">
        <v>47</v>
      </c>
      <c r="B54" s="7">
        <v>2</v>
      </c>
      <c r="C54" s="10">
        <v>0</v>
      </c>
      <c r="D54" s="25">
        <v>0</v>
      </c>
      <c r="E54" s="28">
        <v>0</v>
      </c>
      <c r="F54" s="13">
        <v>0</v>
      </c>
      <c r="G54" s="22">
        <v>300</v>
      </c>
      <c r="H54" s="19">
        <f t="shared" si="0"/>
        <v>0</v>
      </c>
      <c r="I54" s="16">
        <f t="shared" si="1"/>
        <v>2</v>
      </c>
    </row>
    <row r="55" spans="1:9" x14ac:dyDescent="0.25">
      <c r="A55" t="s">
        <v>48</v>
      </c>
      <c r="B55" s="7">
        <v>8</v>
      </c>
      <c r="C55" s="10">
        <v>0</v>
      </c>
      <c r="D55" s="25">
        <v>0</v>
      </c>
      <c r="E55" s="28">
        <v>0</v>
      </c>
      <c r="F55" s="13">
        <v>1</v>
      </c>
      <c r="G55" s="22">
        <v>450</v>
      </c>
      <c r="H55" s="19">
        <f t="shared" si="0"/>
        <v>450</v>
      </c>
      <c r="I55" s="16">
        <f t="shared" si="1"/>
        <v>7</v>
      </c>
    </row>
    <row r="56" spans="1:9" x14ac:dyDescent="0.25">
      <c r="A56" t="s">
        <v>49</v>
      </c>
      <c r="B56" s="7">
        <v>43</v>
      </c>
      <c r="C56" s="10">
        <v>0</v>
      </c>
      <c r="D56" s="25">
        <v>0</v>
      </c>
      <c r="E56" s="28">
        <v>0</v>
      </c>
      <c r="F56" s="13">
        <v>0</v>
      </c>
      <c r="G56" s="22">
        <v>200</v>
      </c>
      <c r="H56" s="19">
        <f t="shared" si="0"/>
        <v>0</v>
      </c>
      <c r="I56" s="16">
        <f t="shared" si="1"/>
        <v>43</v>
      </c>
    </row>
    <row r="57" spans="1:9" x14ac:dyDescent="0.25">
      <c r="A57" t="s">
        <v>50</v>
      </c>
      <c r="B57" s="7">
        <v>14</v>
      </c>
      <c r="C57" s="10">
        <v>0</v>
      </c>
      <c r="D57" s="25">
        <v>0</v>
      </c>
      <c r="E57" s="28">
        <v>0</v>
      </c>
      <c r="F57" s="13">
        <v>0</v>
      </c>
      <c r="G57" s="22">
        <v>200</v>
      </c>
      <c r="H57" s="19">
        <f t="shared" si="0"/>
        <v>0</v>
      </c>
      <c r="I57" s="16">
        <f t="shared" si="1"/>
        <v>14</v>
      </c>
    </row>
    <row r="58" spans="1:9" x14ac:dyDescent="0.25">
      <c r="A58" t="s">
        <v>51</v>
      </c>
      <c r="B58" s="7">
        <v>12</v>
      </c>
      <c r="C58" s="10">
        <v>0</v>
      </c>
      <c r="D58" s="25">
        <v>0</v>
      </c>
      <c r="E58" s="28">
        <v>0</v>
      </c>
      <c r="F58" s="13">
        <v>0</v>
      </c>
      <c r="G58" s="22">
        <v>200</v>
      </c>
      <c r="H58" s="19">
        <f t="shared" si="0"/>
        <v>0</v>
      </c>
      <c r="I58" s="16">
        <f t="shared" si="1"/>
        <v>12</v>
      </c>
    </row>
    <row r="59" spans="1:9" x14ac:dyDescent="0.25">
      <c r="A59" t="s">
        <v>52</v>
      </c>
      <c r="B59" s="7">
        <v>21</v>
      </c>
      <c r="C59" s="10">
        <v>0</v>
      </c>
      <c r="D59" s="25">
        <v>0</v>
      </c>
      <c r="E59" s="28">
        <v>0</v>
      </c>
      <c r="F59" s="13">
        <v>0</v>
      </c>
      <c r="G59" s="22">
        <v>200</v>
      </c>
      <c r="H59" s="19">
        <f t="shared" si="0"/>
        <v>0</v>
      </c>
      <c r="I59" s="16">
        <f t="shared" si="1"/>
        <v>21</v>
      </c>
    </row>
    <row r="60" spans="1:9" x14ac:dyDescent="0.25">
      <c r="A60" t="s">
        <v>53</v>
      </c>
      <c r="B60" s="7">
        <v>13</v>
      </c>
      <c r="C60" s="10">
        <v>0</v>
      </c>
      <c r="D60" s="25">
        <v>0</v>
      </c>
      <c r="E60" s="28">
        <v>0</v>
      </c>
      <c r="F60" s="13">
        <v>0</v>
      </c>
      <c r="G60" s="22">
        <v>160</v>
      </c>
      <c r="H60" s="19">
        <f t="shared" si="0"/>
        <v>0</v>
      </c>
      <c r="I60" s="16">
        <f t="shared" si="1"/>
        <v>13</v>
      </c>
    </row>
    <row r="61" spans="1:9" x14ac:dyDescent="0.25">
      <c r="A61" t="s">
        <v>54</v>
      </c>
      <c r="B61" s="7">
        <v>17</v>
      </c>
      <c r="C61" s="10">
        <v>0</v>
      </c>
      <c r="D61" s="25">
        <v>0</v>
      </c>
      <c r="E61" s="28">
        <v>0</v>
      </c>
      <c r="F61" s="13">
        <v>0</v>
      </c>
      <c r="G61" s="22">
        <v>200</v>
      </c>
      <c r="H61" s="19">
        <f t="shared" si="0"/>
        <v>0</v>
      </c>
      <c r="I61" s="16">
        <f t="shared" si="1"/>
        <v>17</v>
      </c>
    </row>
    <row r="62" spans="1:9" x14ac:dyDescent="0.25">
      <c r="A62" t="s">
        <v>55</v>
      </c>
      <c r="B62" s="7">
        <v>5</v>
      </c>
      <c r="C62" s="10">
        <v>0</v>
      </c>
      <c r="D62" s="25">
        <v>0</v>
      </c>
      <c r="E62" s="28">
        <v>0</v>
      </c>
      <c r="F62" s="13">
        <v>0</v>
      </c>
      <c r="G62" s="22">
        <v>150</v>
      </c>
      <c r="H62" s="19">
        <f t="shared" si="0"/>
        <v>0</v>
      </c>
      <c r="I62" s="16">
        <f t="shared" si="1"/>
        <v>5</v>
      </c>
    </row>
    <row r="63" spans="1:9" x14ac:dyDescent="0.25">
      <c r="A63" t="s">
        <v>56</v>
      </c>
      <c r="B63" s="7">
        <v>23</v>
      </c>
      <c r="C63" s="10">
        <v>0</v>
      </c>
      <c r="D63" s="25">
        <v>0</v>
      </c>
      <c r="E63" s="28">
        <v>0</v>
      </c>
      <c r="F63" s="13">
        <v>1</v>
      </c>
      <c r="G63" s="22">
        <v>150</v>
      </c>
      <c r="H63" s="19">
        <f t="shared" si="0"/>
        <v>150</v>
      </c>
      <c r="I63" s="16">
        <f t="shared" si="1"/>
        <v>22</v>
      </c>
    </row>
    <row r="64" spans="1:9" x14ac:dyDescent="0.25">
      <c r="A64" t="s">
        <v>57</v>
      </c>
      <c r="B64" s="7">
        <v>5</v>
      </c>
      <c r="C64" s="10">
        <v>0</v>
      </c>
      <c r="D64" s="25">
        <v>0</v>
      </c>
      <c r="E64" s="28">
        <v>0</v>
      </c>
      <c r="F64" s="13">
        <v>0</v>
      </c>
      <c r="G64" s="22">
        <v>220</v>
      </c>
      <c r="H64" s="19">
        <f t="shared" si="0"/>
        <v>0</v>
      </c>
      <c r="I64" s="16">
        <f t="shared" si="1"/>
        <v>5</v>
      </c>
    </row>
    <row r="65" spans="1:9" x14ac:dyDescent="0.25">
      <c r="A65" t="s">
        <v>58</v>
      </c>
      <c r="B65" s="7">
        <v>19</v>
      </c>
      <c r="C65" s="10">
        <v>0</v>
      </c>
      <c r="D65" s="25">
        <v>0</v>
      </c>
      <c r="E65" s="28">
        <v>0</v>
      </c>
      <c r="F65" s="13">
        <v>0</v>
      </c>
      <c r="G65" s="22">
        <v>160</v>
      </c>
      <c r="H65" s="19">
        <f t="shared" si="0"/>
        <v>0</v>
      </c>
      <c r="I65" s="16">
        <f t="shared" si="1"/>
        <v>19</v>
      </c>
    </row>
    <row r="66" spans="1:9" x14ac:dyDescent="0.25">
      <c r="A66" t="s">
        <v>59</v>
      </c>
      <c r="B66" s="7">
        <v>19</v>
      </c>
      <c r="C66" s="10">
        <v>0</v>
      </c>
      <c r="D66" s="25">
        <v>0</v>
      </c>
      <c r="E66" s="28">
        <v>0</v>
      </c>
      <c r="F66" s="13">
        <v>0</v>
      </c>
      <c r="G66" s="22">
        <v>180</v>
      </c>
      <c r="H66" s="19">
        <f t="shared" si="0"/>
        <v>0</v>
      </c>
      <c r="I66" s="16">
        <f t="shared" si="1"/>
        <v>19</v>
      </c>
    </row>
    <row r="67" spans="1:9" x14ac:dyDescent="0.25">
      <c r="A67" t="s">
        <v>60</v>
      </c>
      <c r="B67" s="7">
        <v>0</v>
      </c>
      <c r="C67" s="10">
        <v>0</v>
      </c>
      <c r="D67" s="25">
        <v>0</v>
      </c>
      <c r="E67" s="28">
        <v>0</v>
      </c>
      <c r="F67" s="13">
        <v>0</v>
      </c>
      <c r="G67" s="22">
        <v>0</v>
      </c>
      <c r="H67" s="19">
        <f t="shared" si="0"/>
        <v>0</v>
      </c>
      <c r="I67" s="16">
        <f t="shared" si="1"/>
        <v>0</v>
      </c>
    </row>
    <row r="68" spans="1:9" x14ac:dyDescent="0.25">
      <c r="A68" t="s">
        <v>61</v>
      </c>
      <c r="B68" s="7">
        <v>0</v>
      </c>
      <c r="C68" s="10">
        <v>0</v>
      </c>
      <c r="D68" s="25">
        <v>0</v>
      </c>
      <c r="E68" s="28">
        <v>0</v>
      </c>
      <c r="F68" s="13">
        <v>0</v>
      </c>
      <c r="G68" s="23">
        <v>400</v>
      </c>
      <c r="H68" s="19">
        <f t="shared" si="0"/>
        <v>0</v>
      </c>
      <c r="I68" s="16">
        <f t="shared" si="1"/>
        <v>0</v>
      </c>
    </row>
    <row r="69" spans="1:9" x14ac:dyDescent="0.25">
      <c r="A69" t="s">
        <v>62</v>
      </c>
      <c r="B69" s="7">
        <v>4</v>
      </c>
      <c r="C69" s="10">
        <v>0</v>
      </c>
      <c r="D69" s="25">
        <v>0</v>
      </c>
      <c r="E69" s="28">
        <v>0</v>
      </c>
      <c r="F69" s="13">
        <v>0</v>
      </c>
      <c r="G69" s="22">
        <v>3200</v>
      </c>
      <c r="H69" s="19">
        <f t="shared" si="0"/>
        <v>0</v>
      </c>
      <c r="I69" s="16">
        <f t="shared" si="1"/>
        <v>4</v>
      </c>
    </row>
    <row r="70" spans="1:9" x14ac:dyDescent="0.25">
      <c r="A70" t="s">
        <v>63</v>
      </c>
      <c r="B70" s="7">
        <v>23</v>
      </c>
      <c r="C70" s="10">
        <v>0</v>
      </c>
      <c r="D70" s="25">
        <v>0</v>
      </c>
      <c r="E70" s="28">
        <v>0</v>
      </c>
      <c r="F70" s="13">
        <v>1</v>
      </c>
      <c r="G70" s="22">
        <v>850</v>
      </c>
      <c r="H70" s="19">
        <f t="shared" si="0"/>
        <v>850</v>
      </c>
      <c r="I70" s="16">
        <f t="shared" si="1"/>
        <v>22</v>
      </c>
    </row>
    <row r="71" spans="1:9" x14ac:dyDescent="0.25">
      <c r="A71" t="s">
        <v>64</v>
      </c>
      <c r="B71" s="7">
        <v>0</v>
      </c>
      <c r="C71" s="10">
        <v>0</v>
      </c>
      <c r="D71" s="25">
        <v>0</v>
      </c>
      <c r="E71" s="28">
        <v>0</v>
      </c>
      <c r="F71" s="13">
        <v>0</v>
      </c>
      <c r="G71" s="22">
        <v>0</v>
      </c>
      <c r="H71" s="19">
        <f t="shared" si="0"/>
        <v>0</v>
      </c>
      <c r="I71" s="16">
        <f t="shared" si="1"/>
        <v>0</v>
      </c>
    </row>
    <row r="72" spans="1:9" x14ac:dyDescent="0.25">
      <c r="A72" t="s">
        <v>65</v>
      </c>
      <c r="B72" s="7">
        <v>13</v>
      </c>
      <c r="C72" s="10">
        <v>0</v>
      </c>
      <c r="D72" s="25">
        <v>0</v>
      </c>
      <c r="E72" s="28">
        <v>0</v>
      </c>
      <c r="F72" s="13">
        <v>2</v>
      </c>
      <c r="G72" s="22">
        <v>750</v>
      </c>
      <c r="H72" s="19">
        <f t="shared" si="0"/>
        <v>1500</v>
      </c>
      <c r="I72" s="16">
        <f t="shared" ref="I72:I97" si="2">B72+C72-F72-D72-E72</f>
        <v>11</v>
      </c>
    </row>
    <row r="73" spans="1:9" x14ac:dyDescent="0.25">
      <c r="A73" t="s">
        <v>66</v>
      </c>
      <c r="B73" s="7">
        <v>0</v>
      </c>
      <c r="C73" s="10">
        <v>0</v>
      </c>
      <c r="D73" s="25">
        <v>0</v>
      </c>
      <c r="E73" s="28">
        <v>0</v>
      </c>
      <c r="F73" s="13">
        <v>0</v>
      </c>
      <c r="G73" s="22">
        <v>1000</v>
      </c>
      <c r="H73" s="19">
        <f t="shared" ref="H73:H97" si="3">F73*G73</f>
        <v>0</v>
      </c>
      <c r="I73" s="16">
        <f t="shared" si="2"/>
        <v>0</v>
      </c>
    </row>
    <row r="74" spans="1:9" x14ac:dyDescent="0.25">
      <c r="A74" t="s">
        <v>67</v>
      </c>
      <c r="B74" s="7">
        <v>0</v>
      </c>
      <c r="C74" s="10">
        <v>0</v>
      </c>
      <c r="D74" s="25">
        <v>0</v>
      </c>
      <c r="E74" s="28">
        <v>0</v>
      </c>
      <c r="F74" s="13">
        <v>0</v>
      </c>
      <c r="G74" s="22">
        <v>950</v>
      </c>
      <c r="H74" s="19">
        <f t="shared" si="3"/>
        <v>0</v>
      </c>
      <c r="I74" s="16">
        <f t="shared" si="2"/>
        <v>0</v>
      </c>
    </row>
    <row r="75" spans="1:9" x14ac:dyDescent="0.25">
      <c r="A75" t="s">
        <v>97</v>
      </c>
      <c r="B75" s="7">
        <v>12</v>
      </c>
      <c r="C75" s="10">
        <v>0</v>
      </c>
      <c r="D75" s="25">
        <v>0</v>
      </c>
      <c r="E75" s="28">
        <v>0</v>
      </c>
      <c r="F75" s="13">
        <v>1</v>
      </c>
      <c r="G75" s="22">
        <v>800</v>
      </c>
      <c r="H75" s="19">
        <f t="shared" si="3"/>
        <v>800</v>
      </c>
      <c r="I75" s="16">
        <f t="shared" si="2"/>
        <v>11</v>
      </c>
    </row>
    <row r="76" spans="1:9" x14ac:dyDescent="0.25">
      <c r="A76" t="s">
        <v>68</v>
      </c>
      <c r="B76" s="7">
        <v>9</v>
      </c>
      <c r="C76" s="10">
        <v>0</v>
      </c>
      <c r="D76" s="25">
        <v>0</v>
      </c>
      <c r="E76" s="28">
        <v>0</v>
      </c>
      <c r="F76" s="13">
        <v>0</v>
      </c>
      <c r="G76" s="22">
        <v>80</v>
      </c>
      <c r="H76" s="19">
        <f t="shared" si="3"/>
        <v>0</v>
      </c>
      <c r="I76" s="16">
        <f t="shared" si="2"/>
        <v>9</v>
      </c>
    </row>
    <row r="77" spans="1:9" x14ac:dyDescent="0.25">
      <c r="A77" t="s">
        <v>69</v>
      </c>
      <c r="B77" s="7">
        <v>5</v>
      </c>
      <c r="C77" s="10">
        <v>0</v>
      </c>
      <c r="D77" s="25">
        <v>0</v>
      </c>
      <c r="E77" s="28">
        <v>0</v>
      </c>
      <c r="F77" s="13">
        <v>0</v>
      </c>
      <c r="G77" s="22">
        <v>80</v>
      </c>
      <c r="H77" s="19">
        <f t="shared" si="3"/>
        <v>0</v>
      </c>
      <c r="I77" s="16">
        <f t="shared" si="2"/>
        <v>5</v>
      </c>
    </row>
    <row r="78" spans="1:9" x14ac:dyDescent="0.25">
      <c r="A78" t="s">
        <v>70</v>
      </c>
      <c r="B78" s="7">
        <v>6</v>
      </c>
      <c r="C78" s="10">
        <v>0</v>
      </c>
      <c r="D78" s="25">
        <v>0</v>
      </c>
      <c r="E78" s="28">
        <v>0</v>
      </c>
      <c r="F78" s="13">
        <v>0</v>
      </c>
      <c r="G78" s="22">
        <v>1300</v>
      </c>
      <c r="H78" s="19">
        <f t="shared" si="3"/>
        <v>0</v>
      </c>
      <c r="I78" s="16">
        <f t="shared" si="2"/>
        <v>6</v>
      </c>
    </row>
    <row r="79" spans="1:9" x14ac:dyDescent="0.25">
      <c r="A79" t="s">
        <v>71</v>
      </c>
      <c r="B79" s="7">
        <v>10</v>
      </c>
      <c r="C79" s="10">
        <v>0</v>
      </c>
      <c r="D79" s="25">
        <v>0</v>
      </c>
      <c r="E79" s="28">
        <v>0</v>
      </c>
      <c r="F79" s="13">
        <v>0</v>
      </c>
      <c r="G79" s="22">
        <v>1100</v>
      </c>
      <c r="H79" s="19">
        <f t="shared" si="3"/>
        <v>0</v>
      </c>
      <c r="I79" s="16">
        <f t="shared" si="2"/>
        <v>10</v>
      </c>
    </row>
    <row r="80" spans="1:9" x14ac:dyDescent="0.25">
      <c r="A80" t="s">
        <v>72</v>
      </c>
      <c r="B80" s="7">
        <v>8</v>
      </c>
      <c r="C80" s="10">
        <v>0</v>
      </c>
      <c r="D80" s="25">
        <v>0</v>
      </c>
      <c r="E80" s="28">
        <v>0</v>
      </c>
      <c r="F80" s="13">
        <v>0</v>
      </c>
      <c r="G80" s="22">
        <v>1050</v>
      </c>
      <c r="H80" s="19">
        <f t="shared" si="3"/>
        <v>0</v>
      </c>
      <c r="I80" s="16">
        <f t="shared" si="2"/>
        <v>8</v>
      </c>
    </row>
    <row r="81" spans="1:9" x14ac:dyDescent="0.25">
      <c r="A81" t="s">
        <v>73</v>
      </c>
      <c r="B81" s="7">
        <v>7</v>
      </c>
      <c r="C81" s="10">
        <v>0</v>
      </c>
      <c r="D81" s="25">
        <v>0</v>
      </c>
      <c r="E81" s="28">
        <v>0</v>
      </c>
      <c r="F81" s="13">
        <v>0</v>
      </c>
      <c r="G81" s="22">
        <v>1400</v>
      </c>
      <c r="H81" s="19">
        <f t="shared" si="3"/>
        <v>0</v>
      </c>
      <c r="I81" s="16">
        <f t="shared" si="2"/>
        <v>7</v>
      </c>
    </row>
    <row r="82" spans="1:9" x14ac:dyDescent="0.25">
      <c r="A82" t="s">
        <v>74</v>
      </c>
      <c r="B82" s="7">
        <v>0</v>
      </c>
      <c r="C82" s="10">
        <v>0</v>
      </c>
      <c r="D82" s="25">
        <v>0</v>
      </c>
      <c r="E82" s="28">
        <v>0</v>
      </c>
      <c r="F82" s="13">
        <v>0</v>
      </c>
      <c r="G82" s="22">
        <v>950</v>
      </c>
      <c r="H82" s="19">
        <f t="shared" si="3"/>
        <v>0</v>
      </c>
      <c r="I82" s="16">
        <f t="shared" si="2"/>
        <v>0</v>
      </c>
    </row>
    <row r="83" spans="1:9" x14ac:dyDescent="0.25">
      <c r="A83" t="s">
        <v>75</v>
      </c>
      <c r="B83" s="7">
        <v>53</v>
      </c>
      <c r="C83" s="10">
        <v>0</v>
      </c>
      <c r="D83" s="25">
        <v>0</v>
      </c>
      <c r="E83" s="28">
        <v>0</v>
      </c>
      <c r="F83" s="13">
        <v>0</v>
      </c>
      <c r="G83" s="22">
        <v>70</v>
      </c>
      <c r="H83" s="19">
        <f t="shared" si="3"/>
        <v>0</v>
      </c>
      <c r="I83" s="16">
        <f t="shared" si="2"/>
        <v>53</v>
      </c>
    </row>
    <row r="84" spans="1:9" x14ac:dyDescent="0.25">
      <c r="A84" t="s">
        <v>76</v>
      </c>
      <c r="B84" s="7">
        <v>7</v>
      </c>
      <c r="C84" s="10">
        <v>0</v>
      </c>
      <c r="D84" s="25">
        <v>0</v>
      </c>
      <c r="E84" s="28">
        <v>0</v>
      </c>
      <c r="F84" s="13">
        <v>0</v>
      </c>
      <c r="G84" s="22">
        <v>800</v>
      </c>
      <c r="H84" s="19">
        <f t="shared" si="3"/>
        <v>0</v>
      </c>
      <c r="I84" s="16">
        <f t="shared" si="2"/>
        <v>7</v>
      </c>
    </row>
    <row r="85" spans="1:9" x14ac:dyDescent="0.25">
      <c r="A85" t="s">
        <v>101</v>
      </c>
      <c r="B85" s="7">
        <v>21</v>
      </c>
      <c r="C85" s="10">
        <v>0</v>
      </c>
      <c r="D85" s="25">
        <v>0</v>
      </c>
      <c r="E85" s="28">
        <v>0</v>
      </c>
      <c r="F85" s="13">
        <v>0</v>
      </c>
      <c r="G85" s="22">
        <v>850</v>
      </c>
      <c r="H85" s="19">
        <f t="shared" si="3"/>
        <v>0</v>
      </c>
      <c r="I85" s="16">
        <f t="shared" si="2"/>
        <v>21</v>
      </c>
    </row>
    <row r="86" spans="1:9" x14ac:dyDescent="0.25">
      <c r="A86" t="s">
        <v>102</v>
      </c>
      <c r="B86" s="7">
        <v>12</v>
      </c>
      <c r="C86" s="10">
        <v>0</v>
      </c>
      <c r="D86" s="25">
        <v>0</v>
      </c>
      <c r="E86" s="28">
        <v>0</v>
      </c>
      <c r="F86" s="13">
        <v>1</v>
      </c>
      <c r="G86" s="22">
        <v>1200</v>
      </c>
      <c r="H86" s="19">
        <f t="shared" si="3"/>
        <v>1200</v>
      </c>
      <c r="I86" s="16">
        <f t="shared" si="2"/>
        <v>11</v>
      </c>
    </row>
    <row r="87" spans="1:9" x14ac:dyDescent="0.25">
      <c r="A87" t="s">
        <v>78</v>
      </c>
      <c r="B87" s="7">
        <v>12</v>
      </c>
      <c r="C87" s="10">
        <v>0</v>
      </c>
      <c r="D87" s="25">
        <v>0</v>
      </c>
      <c r="E87" s="28">
        <v>0</v>
      </c>
      <c r="F87" s="13">
        <v>0</v>
      </c>
      <c r="G87" s="22">
        <v>2000</v>
      </c>
      <c r="H87" s="19">
        <f t="shared" si="3"/>
        <v>0</v>
      </c>
      <c r="I87" s="16">
        <f t="shared" si="2"/>
        <v>12</v>
      </c>
    </row>
    <row r="88" spans="1:9" x14ac:dyDescent="0.25">
      <c r="A88" t="s">
        <v>79</v>
      </c>
      <c r="B88" s="7">
        <v>5</v>
      </c>
      <c r="C88" s="10">
        <v>0</v>
      </c>
      <c r="D88" s="25">
        <v>0</v>
      </c>
      <c r="E88" s="28">
        <v>0</v>
      </c>
      <c r="F88" s="13">
        <v>0</v>
      </c>
      <c r="G88" s="22">
        <v>950</v>
      </c>
      <c r="H88" s="19">
        <f t="shared" si="3"/>
        <v>0</v>
      </c>
      <c r="I88" s="16">
        <f t="shared" si="2"/>
        <v>5</v>
      </c>
    </row>
    <row r="89" spans="1:9" x14ac:dyDescent="0.25">
      <c r="A89" t="s">
        <v>80</v>
      </c>
      <c r="B89" s="7">
        <v>12</v>
      </c>
      <c r="C89" s="10">
        <v>0</v>
      </c>
      <c r="D89" s="25">
        <v>0</v>
      </c>
      <c r="E89" s="28">
        <v>0</v>
      </c>
      <c r="F89" s="13">
        <v>0</v>
      </c>
      <c r="G89" s="22">
        <v>1850</v>
      </c>
      <c r="H89" s="19">
        <f t="shared" si="3"/>
        <v>0</v>
      </c>
      <c r="I89" s="16">
        <f t="shared" si="2"/>
        <v>12</v>
      </c>
    </row>
    <row r="90" spans="1:9" x14ac:dyDescent="0.25">
      <c r="A90" t="s">
        <v>81</v>
      </c>
      <c r="B90" s="7">
        <v>13</v>
      </c>
      <c r="C90" s="10">
        <v>0</v>
      </c>
      <c r="D90" s="25">
        <v>0</v>
      </c>
      <c r="E90" s="28">
        <v>0</v>
      </c>
      <c r="F90" s="13">
        <v>0</v>
      </c>
      <c r="G90" s="22">
        <v>460</v>
      </c>
      <c r="H90" s="19">
        <f t="shared" si="3"/>
        <v>0</v>
      </c>
      <c r="I90" s="16">
        <f t="shared" si="2"/>
        <v>13</v>
      </c>
    </row>
    <row r="91" spans="1:9" x14ac:dyDescent="0.25">
      <c r="A91" t="s">
        <v>82</v>
      </c>
      <c r="B91" s="7">
        <v>0</v>
      </c>
      <c r="C91" s="10">
        <v>0</v>
      </c>
      <c r="D91" s="25">
        <v>0</v>
      </c>
      <c r="E91" s="28">
        <v>0</v>
      </c>
      <c r="F91" s="13">
        <v>0</v>
      </c>
      <c r="G91" s="22">
        <v>380</v>
      </c>
      <c r="H91" s="19">
        <f t="shared" si="3"/>
        <v>0</v>
      </c>
      <c r="I91" s="16">
        <f t="shared" si="2"/>
        <v>0</v>
      </c>
    </row>
    <row r="92" spans="1:9" x14ac:dyDescent="0.25">
      <c r="A92" t="s">
        <v>92</v>
      </c>
      <c r="B92" s="7">
        <v>6</v>
      </c>
      <c r="C92" s="10">
        <v>0</v>
      </c>
      <c r="D92" s="25">
        <v>0</v>
      </c>
      <c r="E92" s="28">
        <v>0</v>
      </c>
      <c r="F92" s="13">
        <v>0</v>
      </c>
      <c r="G92" s="22">
        <v>1150</v>
      </c>
      <c r="H92" s="19">
        <f t="shared" si="3"/>
        <v>0</v>
      </c>
      <c r="I92" s="16">
        <f t="shared" si="2"/>
        <v>6</v>
      </c>
    </row>
    <row r="93" spans="1:9" x14ac:dyDescent="0.25">
      <c r="A93" t="s">
        <v>93</v>
      </c>
      <c r="B93" s="7">
        <v>8</v>
      </c>
      <c r="C93" s="10">
        <v>0</v>
      </c>
      <c r="D93" s="25">
        <v>0</v>
      </c>
      <c r="E93" s="28">
        <v>0</v>
      </c>
      <c r="F93" s="13">
        <v>2</v>
      </c>
      <c r="G93" s="22">
        <v>680</v>
      </c>
      <c r="H93" s="19">
        <f t="shared" si="3"/>
        <v>1360</v>
      </c>
      <c r="I93" s="16">
        <f t="shared" si="2"/>
        <v>6</v>
      </c>
    </row>
    <row r="94" spans="1:9" x14ac:dyDescent="0.25">
      <c r="A94" t="s">
        <v>94</v>
      </c>
      <c r="B94" s="7">
        <v>98</v>
      </c>
      <c r="C94" s="10">
        <v>0</v>
      </c>
      <c r="D94" s="25">
        <v>0</v>
      </c>
      <c r="E94" s="28">
        <v>0</v>
      </c>
      <c r="F94" s="13">
        <v>0</v>
      </c>
      <c r="G94" s="22">
        <v>220</v>
      </c>
      <c r="H94" s="19">
        <f t="shared" si="3"/>
        <v>0</v>
      </c>
      <c r="I94" s="16">
        <f t="shared" si="2"/>
        <v>98</v>
      </c>
    </row>
    <row r="95" spans="1:9" x14ac:dyDescent="0.25">
      <c r="A95" t="s">
        <v>96</v>
      </c>
      <c r="B95" s="8">
        <v>33.4</v>
      </c>
      <c r="C95" s="10">
        <v>0</v>
      </c>
      <c r="D95" s="25">
        <v>0</v>
      </c>
      <c r="E95" s="28">
        <v>0</v>
      </c>
      <c r="F95" s="13">
        <v>0</v>
      </c>
      <c r="G95" s="22">
        <v>1000</v>
      </c>
      <c r="H95" s="19">
        <f t="shared" si="3"/>
        <v>0</v>
      </c>
      <c r="I95" s="16">
        <f t="shared" si="2"/>
        <v>33.4</v>
      </c>
    </row>
    <row r="96" spans="1:9" x14ac:dyDescent="0.25">
      <c r="A96" t="s">
        <v>98</v>
      </c>
      <c r="B96" s="7">
        <v>4.3</v>
      </c>
      <c r="C96" s="10">
        <v>0</v>
      </c>
      <c r="D96" s="25">
        <v>0</v>
      </c>
      <c r="E96" s="28">
        <v>0</v>
      </c>
      <c r="F96" s="13">
        <v>0</v>
      </c>
      <c r="G96" s="23">
        <v>800</v>
      </c>
      <c r="H96" s="19">
        <f t="shared" si="3"/>
        <v>0</v>
      </c>
      <c r="I96" s="16">
        <f t="shared" si="2"/>
        <v>4.3</v>
      </c>
    </row>
    <row r="97" spans="1:9" x14ac:dyDescent="0.25">
      <c r="A97" t="s">
        <v>99</v>
      </c>
      <c r="B97" s="8">
        <v>152</v>
      </c>
      <c r="C97" s="10">
        <v>0</v>
      </c>
      <c r="D97" s="25">
        <v>0</v>
      </c>
      <c r="E97" s="28">
        <v>0</v>
      </c>
      <c r="F97" s="13">
        <v>11</v>
      </c>
      <c r="G97" s="23">
        <v>220</v>
      </c>
      <c r="H97" s="19">
        <f t="shared" si="3"/>
        <v>2420</v>
      </c>
      <c r="I97" s="16">
        <f t="shared" si="2"/>
        <v>141</v>
      </c>
    </row>
    <row r="99" spans="1:9" x14ac:dyDescent="0.25">
      <c r="A99" t="s">
        <v>83</v>
      </c>
      <c r="H99" s="19">
        <f>SUM(H3:H97)</f>
        <v>15640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D791-E3A5-476D-91E0-6A2CE3DC02A6}">
  <dimension ref="A2:S110"/>
  <sheetViews>
    <sheetView topLeftCell="A97" workbookViewId="0">
      <selection activeCell="I9" sqref="I9"/>
    </sheetView>
  </sheetViews>
  <sheetFormatPr baseColWidth="10" defaultRowHeight="15" x14ac:dyDescent="0.25"/>
  <cols>
    <col min="1" max="1" width="27.42578125" customWidth="1"/>
    <col min="2" max="2" width="13.42578125" customWidth="1"/>
  </cols>
  <sheetData>
    <row r="2" spans="1:9" x14ac:dyDescent="0.25">
      <c r="A2" s="1" t="s">
        <v>0</v>
      </c>
      <c r="B2" s="6" t="s">
        <v>84</v>
      </c>
      <c r="C2" s="9" t="s">
        <v>85</v>
      </c>
      <c r="D2" s="24" t="s">
        <v>86</v>
      </c>
      <c r="E2" s="27" t="s">
        <v>87</v>
      </c>
      <c r="F2" s="12" t="s">
        <v>88</v>
      </c>
      <c r="G2" s="21" t="s">
        <v>89</v>
      </c>
      <c r="H2" s="18" t="s">
        <v>90</v>
      </c>
      <c r="I2" s="15" t="s">
        <v>91</v>
      </c>
    </row>
    <row r="3" spans="1:9" x14ac:dyDescent="0.25">
      <c r="A3" t="s">
        <v>62</v>
      </c>
      <c r="B3" s="7">
        <v>4</v>
      </c>
      <c r="C3" s="10">
        <v>0</v>
      </c>
      <c r="D3" s="25">
        <v>0</v>
      </c>
      <c r="E3" s="28">
        <v>0</v>
      </c>
      <c r="F3" s="13">
        <f>B3+C3-I3</f>
        <v>0</v>
      </c>
      <c r="G3" s="22">
        <v>3200</v>
      </c>
      <c r="H3" s="19">
        <f t="shared" ref="H3:H74" si="0">F3*G3</f>
        <v>0</v>
      </c>
      <c r="I3" s="16">
        <v>4</v>
      </c>
    </row>
    <row r="4" spans="1:9" x14ac:dyDescent="0.25">
      <c r="A4" t="s">
        <v>78</v>
      </c>
      <c r="B4" s="7">
        <v>12</v>
      </c>
      <c r="C4" s="10">
        <v>0</v>
      </c>
      <c r="D4" s="25">
        <v>0</v>
      </c>
      <c r="E4" s="28">
        <v>0</v>
      </c>
      <c r="F4" s="13">
        <f t="shared" ref="F4:F74" si="1">B4+C4-I4</f>
        <v>0</v>
      </c>
      <c r="G4" s="22">
        <v>2000</v>
      </c>
      <c r="H4" s="19">
        <f t="shared" si="0"/>
        <v>0</v>
      </c>
      <c r="I4" s="16">
        <v>12</v>
      </c>
    </row>
    <row r="5" spans="1:9" x14ac:dyDescent="0.25">
      <c r="A5" t="s">
        <v>14</v>
      </c>
      <c r="B5" s="7">
        <v>8</v>
      </c>
      <c r="C5" s="10">
        <v>0</v>
      </c>
      <c r="D5" s="25">
        <v>0</v>
      </c>
      <c r="E5" s="28">
        <v>0</v>
      </c>
      <c r="F5" s="13">
        <f t="shared" si="1"/>
        <v>1</v>
      </c>
      <c r="G5" s="22">
        <v>500</v>
      </c>
      <c r="H5" s="19">
        <f t="shared" si="0"/>
        <v>500</v>
      </c>
      <c r="I5" s="16">
        <v>7</v>
      </c>
    </row>
    <row r="6" spans="1:9" x14ac:dyDescent="0.25">
      <c r="A6" t="s">
        <v>13</v>
      </c>
      <c r="B6" s="7">
        <v>18</v>
      </c>
      <c r="C6" s="10">
        <v>0</v>
      </c>
      <c r="D6" s="25">
        <v>0</v>
      </c>
      <c r="E6" s="28">
        <v>0</v>
      </c>
      <c r="F6" s="13">
        <f t="shared" si="1"/>
        <v>0</v>
      </c>
      <c r="G6" s="22">
        <v>300</v>
      </c>
      <c r="H6" s="19">
        <f t="shared" si="0"/>
        <v>0</v>
      </c>
      <c r="I6" s="16">
        <v>18</v>
      </c>
    </row>
    <row r="7" spans="1:9" x14ac:dyDescent="0.25">
      <c r="A7" t="s">
        <v>17</v>
      </c>
      <c r="B7" s="7">
        <v>6</v>
      </c>
      <c r="C7" s="10">
        <v>0</v>
      </c>
      <c r="D7" s="25">
        <v>0</v>
      </c>
      <c r="E7" s="28">
        <v>0</v>
      </c>
      <c r="F7" s="13">
        <f t="shared" si="1"/>
        <v>1</v>
      </c>
      <c r="G7" s="22">
        <v>950</v>
      </c>
      <c r="H7" s="19">
        <f t="shared" si="0"/>
        <v>950</v>
      </c>
      <c r="I7" s="16">
        <v>5</v>
      </c>
    </row>
    <row r="8" spans="1:9" x14ac:dyDescent="0.25">
      <c r="A8" t="s">
        <v>30</v>
      </c>
      <c r="B8" s="7">
        <v>32</v>
      </c>
      <c r="C8" s="10">
        <v>0</v>
      </c>
      <c r="D8" s="25">
        <v>0</v>
      </c>
      <c r="E8" s="28">
        <v>0</v>
      </c>
      <c r="F8" s="13">
        <f t="shared" si="1"/>
        <v>4</v>
      </c>
      <c r="G8" s="22">
        <v>800</v>
      </c>
      <c r="H8" s="19">
        <f t="shared" si="0"/>
        <v>3200</v>
      </c>
      <c r="I8" s="16">
        <v>28</v>
      </c>
    </row>
    <row r="9" spans="1:9" x14ac:dyDescent="0.25">
      <c r="A9" t="s">
        <v>73</v>
      </c>
      <c r="B9" s="7">
        <v>7</v>
      </c>
      <c r="C9" s="10">
        <v>4</v>
      </c>
      <c r="D9" s="25">
        <v>0</v>
      </c>
      <c r="E9" s="28">
        <v>0</v>
      </c>
      <c r="F9" s="13">
        <f t="shared" si="1"/>
        <v>0</v>
      </c>
      <c r="G9" s="22">
        <v>1400</v>
      </c>
      <c r="H9" s="19">
        <f t="shared" si="0"/>
        <v>0</v>
      </c>
      <c r="I9" s="16">
        <v>11</v>
      </c>
    </row>
    <row r="10" spans="1:9" x14ac:dyDescent="0.25">
      <c r="A10" t="s">
        <v>19</v>
      </c>
      <c r="B10" s="7">
        <v>0</v>
      </c>
      <c r="C10" s="10">
        <v>0</v>
      </c>
      <c r="D10" s="25">
        <v>0</v>
      </c>
      <c r="E10" s="28">
        <v>0</v>
      </c>
      <c r="F10" s="13">
        <f t="shared" si="1"/>
        <v>0</v>
      </c>
      <c r="G10" s="22">
        <v>1200</v>
      </c>
      <c r="H10" s="19">
        <f t="shared" si="0"/>
        <v>0</v>
      </c>
      <c r="I10" s="16">
        <v>0</v>
      </c>
    </row>
    <row r="11" spans="1:9" x14ac:dyDescent="0.25">
      <c r="A11" t="s">
        <v>22</v>
      </c>
      <c r="B11" s="7">
        <v>13</v>
      </c>
      <c r="C11" s="10">
        <v>0</v>
      </c>
      <c r="D11" s="25">
        <v>0</v>
      </c>
      <c r="E11" s="28">
        <v>0</v>
      </c>
      <c r="F11" s="13">
        <f t="shared" si="1"/>
        <v>0</v>
      </c>
      <c r="G11" s="22">
        <v>1800</v>
      </c>
      <c r="H11" s="19">
        <f t="shared" si="0"/>
        <v>0</v>
      </c>
      <c r="I11" s="16">
        <v>13</v>
      </c>
    </row>
    <row r="12" spans="1:9" x14ac:dyDescent="0.25">
      <c r="A12" t="s">
        <v>97</v>
      </c>
      <c r="B12" s="7">
        <v>12</v>
      </c>
      <c r="C12" s="10">
        <v>0</v>
      </c>
      <c r="D12" s="25">
        <v>0</v>
      </c>
      <c r="E12" s="28">
        <v>0</v>
      </c>
      <c r="F12" s="13">
        <f t="shared" si="1"/>
        <v>1</v>
      </c>
      <c r="G12" s="22">
        <v>800</v>
      </c>
      <c r="H12" s="19">
        <f t="shared" si="0"/>
        <v>800</v>
      </c>
      <c r="I12" s="16">
        <v>11</v>
      </c>
    </row>
    <row r="13" spans="1:9" x14ac:dyDescent="0.25">
      <c r="A13" t="s">
        <v>103</v>
      </c>
      <c r="B13" s="7">
        <v>7</v>
      </c>
      <c r="C13" s="10">
        <v>0</v>
      </c>
      <c r="D13" s="25">
        <v>0</v>
      </c>
      <c r="E13" s="28">
        <v>0</v>
      </c>
      <c r="F13" s="13">
        <f t="shared" si="1"/>
        <v>5</v>
      </c>
      <c r="G13" s="22">
        <v>600</v>
      </c>
      <c r="H13" s="19">
        <f t="shared" si="0"/>
        <v>3000</v>
      </c>
      <c r="I13" s="16">
        <v>2</v>
      </c>
    </row>
    <row r="14" spans="1:9" x14ac:dyDescent="0.25">
      <c r="A14" t="s">
        <v>117</v>
      </c>
      <c r="B14" s="7">
        <v>0</v>
      </c>
      <c r="C14" s="10">
        <v>24</v>
      </c>
      <c r="D14" s="25">
        <v>0</v>
      </c>
      <c r="E14" s="28">
        <v>0</v>
      </c>
      <c r="F14" s="13">
        <f t="shared" si="1"/>
        <v>0</v>
      </c>
      <c r="G14" s="22">
        <v>600</v>
      </c>
      <c r="H14" s="19">
        <f t="shared" si="0"/>
        <v>0</v>
      </c>
      <c r="I14" s="16">
        <v>24</v>
      </c>
    </row>
    <row r="15" spans="1:9" x14ac:dyDescent="0.25">
      <c r="A15" t="s">
        <v>116</v>
      </c>
      <c r="B15" s="7">
        <v>0</v>
      </c>
      <c r="C15" s="10">
        <v>24</v>
      </c>
      <c r="D15" s="25">
        <v>0</v>
      </c>
      <c r="E15" s="28">
        <v>0</v>
      </c>
      <c r="F15" s="13">
        <f t="shared" si="1"/>
        <v>0</v>
      </c>
      <c r="G15" s="22">
        <v>650</v>
      </c>
      <c r="H15" s="19">
        <f t="shared" si="0"/>
        <v>0</v>
      </c>
      <c r="I15" s="16">
        <v>24</v>
      </c>
    </row>
    <row r="16" spans="1:9" x14ac:dyDescent="0.25">
      <c r="A16" t="s">
        <v>118</v>
      </c>
      <c r="B16" s="7">
        <v>0</v>
      </c>
      <c r="C16" s="10">
        <v>24</v>
      </c>
      <c r="D16" s="25">
        <v>0</v>
      </c>
      <c r="E16" s="28">
        <v>0</v>
      </c>
      <c r="F16" s="13">
        <f t="shared" si="1"/>
        <v>0</v>
      </c>
      <c r="G16" s="22">
        <v>600</v>
      </c>
      <c r="H16" s="19">
        <f t="shared" si="0"/>
        <v>0</v>
      </c>
      <c r="I16" s="16">
        <v>24</v>
      </c>
    </row>
    <row r="17" spans="1:9" x14ac:dyDescent="0.25">
      <c r="A17" t="s">
        <v>10</v>
      </c>
      <c r="B17" s="7">
        <v>0</v>
      </c>
      <c r="C17" s="10">
        <v>0</v>
      </c>
      <c r="D17" s="25">
        <v>0</v>
      </c>
      <c r="E17" s="28">
        <v>0</v>
      </c>
      <c r="F17" s="13">
        <f t="shared" si="1"/>
        <v>0</v>
      </c>
      <c r="G17" s="22">
        <v>550</v>
      </c>
      <c r="H17" s="19">
        <f t="shared" si="0"/>
        <v>0</v>
      </c>
      <c r="I17" s="16">
        <v>0</v>
      </c>
    </row>
    <row r="18" spans="1:9" x14ac:dyDescent="0.25">
      <c r="A18" t="s">
        <v>12</v>
      </c>
      <c r="B18" s="7">
        <v>0</v>
      </c>
      <c r="C18" s="10">
        <v>0</v>
      </c>
      <c r="D18" s="25">
        <v>0</v>
      </c>
      <c r="E18" s="28">
        <v>0</v>
      </c>
      <c r="F18" s="13">
        <f t="shared" si="1"/>
        <v>0</v>
      </c>
      <c r="G18" s="22">
        <v>550</v>
      </c>
      <c r="H18" s="19">
        <f t="shared" si="0"/>
        <v>0</v>
      </c>
      <c r="I18" s="16">
        <v>0</v>
      </c>
    </row>
    <row r="19" spans="1:9" x14ac:dyDescent="0.25">
      <c r="A19" t="s">
        <v>11</v>
      </c>
      <c r="B19" s="7">
        <v>0</v>
      </c>
      <c r="C19" s="10">
        <v>0</v>
      </c>
      <c r="D19" s="25">
        <v>0</v>
      </c>
      <c r="E19" s="28">
        <v>0</v>
      </c>
      <c r="F19" s="13">
        <f t="shared" si="1"/>
        <v>0</v>
      </c>
      <c r="G19" s="22">
        <v>550</v>
      </c>
      <c r="H19" s="19">
        <f t="shared" si="0"/>
        <v>0</v>
      </c>
      <c r="I19" s="16">
        <v>0</v>
      </c>
    </row>
    <row r="20" spans="1:9" x14ac:dyDescent="0.25">
      <c r="A20" t="s">
        <v>29</v>
      </c>
      <c r="B20" s="7">
        <v>6</v>
      </c>
      <c r="C20" s="10">
        <v>0</v>
      </c>
      <c r="D20" s="25">
        <v>0</v>
      </c>
      <c r="E20" s="28">
        <v>0</v>
      </c>
      <c r="F20" s="13">
        <f t="shared" si="1"/>
        <v>3</v>
      </c>
      <c r="G20" s="22">
        <v>1000</v>
      </c>
      <c r="H20" s="19">
        <f t="shared" si="0"/>
        <v>3000</v>
      </c>
      <c r="I20" s="16">
        <v>3</v>
      </c>
    </row>
    <row r="21" spans="1:9" x14ac:dyDescent="0.25">
      <c r="A21" t="s">
        <v>69</v>
      </c>
      <c r="B21" s="7">
        <v>5</v>
      </c>
      <c r="C21" s="10">
        <v>0</v>
      </c>
      <c r="D21" s="25">
        <v>0</v>
      </c>
      <c r="E21" s="28">
        <v>0</v>
      </c>
      <c r="F21" s="13">
        <f t="shared" si="1"/>
        <v>3</v>
      </c>
      <c r="G21" s="22">
        <v>80</v>
      </c>
      <c r="H21" s="19">
        <f t="shared" si="0"/>
        <v>240</v>
      </c>
      <c r="I21" s="16">
        <v>2</v>
      </c>
    </row>
    <row r="22" spans="1:9" x14ac:dyDescent="0.25">
      <c r="A22" t="s">
        <v>67</v>
      </c>
      <c r="B22" s="7">
        <v>0</v>
      </c>
      <c r="C22" s="10">
        <v>0</v>
      </c>
      <c r="D22" s="25">
        <v>0</v>
      </c>
      <c r="E22" s="28">
        <v>0</v>
      </c>
      <c r="F22" s="13">
        <f t="shared" si="1"/>
        <v>0</v>
      </c>
      <c r="G22" s="22">
        <v>950</v>
      </c>
      <c r="H22" s="19">
        <f t="shared" si="0"/>
        <v>0</v>
      </c>
      <c r="I22" s="16">
        <v>0</v>
      </c>
    </row>
    <row r="23" spans="1:9" x14ac:dyDescent="0.25">
      <c r="A23" t="s">
        <v>66</v>
      </c>
      <c r="B23" s="7">
        <v>0</v>
      </c>
      <c r="C23" s="10">
        <v>0</v>
      </c>
      <c r="D23" s="25">
        <v>0</v>
      </c>
      <c r="E23" s="28">
        <v>0</v>
      </c>
      <c r="F23" s="13">
        <f t="shared" si="1"/>
        <v>0</v>
      </c>
      <c r="G23" s="22">
        <v>1000</v>
      </c>
      <c r="H23" s="19">
        <f t="shared" si="0"/>
        <v>0</v>
      </c>
      <c r="I23" s="16">
        <v>0</v>
      </c>
    </row>
    <row r="24" spans="1:9" x14ac:dyDescent="0.25">
      <c r="A24" t="s">
        <v>65</v>
      </c>
      <c r="B24" s="7">
        <v>13</v>
      </c>
      <c r="C24" s="10">
        <v>0</v>
      </c>
      <c r="D24" s="25">
        <v>0</v>
      </c>
      <c r="E24" s="28">
        <v>0</v>
      </c>
      <c r="F24" s="13">
        <f t="shared" si="1"/>
        <v>4</v>
      </c>
      <c r="G24" s="22">
        <v>750</v>
      </c>
      <c r="H24" s="19">
        <f t="shared" si="0"/>
        <v>3000</v>
      </c>
      <c r="I24" s="16">
        <v>9</v>
      </c>
    </row>
    <row r="25" spans="1:9" x14ac:dyDescent="0.25">
      <c r="A25" t="s">
        <v>123</v>
      </c>
      <c r="B25" s="7">
        <v>8</v>
      </c>
      <c r="C25" s="10">
        <v>6</v>
      </c>
      <c r="D25" s="25">
        <v>0</v>
      </c>
      <c r="E25" s="28">
        <v>0</v>
      </c>
      <c r="F25" s="13">
        <f t="shared" si="1"/>
        <v>7</v>
      </c>
      <c r="G25" s="22">
        <v>680</v>
      </c>
      <c r="H25" s="19">
        <f t="shared" si="0"/>
        <v>4760</v>
      </c>
      <c r="I25" s="16">
        <v>7</v>
      </c>
    </row>
    <row r="26" spans="1:9" x14ac:dyDescent="0.25">
      <c r="A26" t="s">
        <v>75</v>
      </c>
      <c r="B26" s="7">
        <v>53</v>
      </c>
      <c r="C26" s="10">
        <v>60</v>
      </c>
      <c r="D26" s="25">
        <v>0</v>
      </c>
      <c r="E26" s="28">
        <v>0</v>
      </c>
      <c r="F26" s="13">
        <f t="shared" si="1"/>
        <v>2</v>
      </c>
      <c r="G26" s="22">
        <v>70</v>
      </c>
      <c r="H26" s="19">
        <f t="shared" si="0"/>
        <v>140</v>
      </c>
      <c r="I26" s="16">
        <v>111</v>
      </c>
    </row>
    <row r="27" spans="1:9" x14ac:dyDescent="0.25">
      <c r="A27" t="s">
        <v>71</v>
      </c>
      <c r="B27" s="7">
        <v>10</v>
      </c>
      <c r="C27" s="10">
        <v>0</v>
      </c>
      <c r="D27" s="25">
        <v>0</v>
      </c>
      <c r="E27" s="28">
        <v>0</v>
      </c>
      <c r="F27" s="13">
        <f t="shared" si="1"/>
        <v>0</v>
      </c>
      <c r="G27" s="22">
        <v>1100</v>
      </c>
      <c r="H27" s="19">
        <f t="shared" si="0"/>
        <v>0</v>
      </c>
      <c r="I27" s="16">
        <v>10</v>
      </c>
    </row>
    <row r="28" spans="1:9" x14ac:dyDescent="0.25">
      <c r="A28" t="s">
        <v>25</v>
      </c>
      <c r="B28" s="7">
        <v>7</v>
      </c>
      <c r="C28" s="10">
        <v>0</v>
      </c>
      <c r="D28" s="25">
        <v>0</v>
      </c>
      <c r="E28" s="28">
        <v>0</v>
      </c>
      <c r="F28" s="13">
        <f t="shared" si="1"/>
        <v>1</v>
      </c>
      <c r="G28" s="22">
        <v>800</v>
      </c>
      <c r="H28" s="19">
        <f t="shared" si="0"/>
        <v>800</v>
      </c>
      <c r="I28" s="16">
        <v>6</v>
      </c>
    </row>
    <row r="29" spans="1:9" x14ac:dyDescent="0.25">
      <c r="A29" t="s">
        <v>9</v>
      </c>
      <c r="B29" s="7">
        <v>24</v>
      </c>
      <c r="C29" s="10">
        <v>0</v>
      </c>
      <c r="D29" s="25">
        <v>0</v>
      </c>
      <c r="E29" s="28">
        <v>0</v>
      </c>
      <c r="F29" s="13">
        <f t="shared" si="1"/>
        <v>2</v>
      </c>
      <c r="G29" s="22">
        <v>550</v>
      </c>
      <c r="H29" s="19">
        <f t="shared" si="0"/>
        <v>1100</v>
      </c>
      <c r="I29" s="16">
        <v>22</v>
      </c>
    </row>
    <row r="30" spans="1:9" x14ac:dyDescent="0.25">
      <c r="A30" t="s">
        <v>115</v>
      </c>
      <c r="B30" s="7">
        <v>0</v>
      </c>
      <c r="C30" s="10">
        <v>20</v>
      </c>
      <c r="D30" s="25">
        <v>0</v>
      </c>
      <c r="E30" s="28">
        <v>0</v>
      </c>
      <c r="F30" s="13">
        <f t="shared" si="1"/>
        <v>2</v>
      </c>
      <c r="G30" s="22">
        <v>720</v>
      </c>
      <c r="H30" s="19">
        <f t="shared" si="0"/>
        <v>1440</v>
      </c>
      <c r="I30" s="16">
        <v>18</v>
      </c>
    </row>
    <row r="31" spans="1:9" x14ac:dyDescent="0.25">
      <c r="A31" t="s">
        <v>92</v>
      </c>
      <c r="B31" s="7">
        <v>6</v>
      </c>
      <c r="C31" s="10">
        <v>4</v>
      </c>
      <c r="D31" s="25">
        <v>0</v>
      </c>
      <c r="E31" s="28">
        <v>0</v>
      </c>
      <c r="F31" s="13">
        <f t="shared" si="1"/>
        <v>1</v>
      </c>
      <c r="G31" s="22">
        <v>1150</v>
      </c>
      <c r="H31" s="19">
        <f t="shared" si="0"/>
        <v>1150</v>
      </c>
      <c r="I31" s="16">
        <v>9</v>
      </c>
    </row>
    <row r="32" spans="1:9" x14ac:dyDescent="0.25">
      <c r="A32" t="s">
        <v>60</v>
      </c>
      <c r="B32" s="7">
        <v>0</v>
      </c>
      <c r="C32" s="10">
        <v>0</v>
      </c>
      <c r="D32" s="25">
        <v>0</v>
      </c>
      <c r="E32" s="28">
        <v>0</v>
      </c>
      <c r="F32" s="13">
        <f t="shared" si="1"/>
        <v>0</v>
      </c>
      <c r="G32" s="22">
        <v>0</v>
      </c>
      <c r="H32" s="19">
        <f t="shared" si="0"/>
        <v>0</v>
      </c>
      <c r="I32" s="16">
        <v>0</v>
      </c>
    </row>
    <row r="33" spans="1:9" x14ac:dyDescent="0.25">
      <c r="A33" t="s">
        <v>41</v>
      </c>
      <c r="B33" s="7">
        <v>77</v>
      </c>
      <c r="C33" s="10">
        <v>24</v>
      </c>
      <c r="D33" s="25">
        <v>0</v>
      </c>
      <c r="E33" s="28">
        <v>0</v>
      </c>
      <c r="F33" s="13">
        <f t="shared" si="1"/>
        <v>0</v>
      </c>
      <c r="G33" s="22">
        <v>120</v>
      </c>
      <c r="H33" s="19">
        <f t="shared" si="0"/>
        <v>0</v>
      </c>
      <c r="I33" s="16">
        <v>101</v>
      </c>
    </row>
    <row r="34" spans="1:9" x14ac:dyDescent="0.25">
      <c r="A34" t="s">
        <v>42</v>
      </c>
      <c r="B34" s="7">
        <v>0</v>
      </c>
      <c r="C34" s="10">
        <v>0</v>
      </c>
      <c r="D34" s="25">
        <v>0</v>
      </c>
      <c r="E34" s="28">
        <v>0</v>
      </c>
      <c r="F34" s="13">
        <f t="shared" si="1"/>
        <v>0</v>
      </c>
      <c r="G34" s="22">
        <v>1400</v>
      </c>
      <c r="H34" s="19">
        <f t="shared" si="0"/>
        <v>0</v>
      </c>
      <c r="I34" s="16">
        <v>0</v>
      </c>
    </row>
    <row r="35" spans="1:9" x14ac:dyDescent="0.25">
      <c r="A35" t="s">
        <v>82</v>
      </c>
      <c r="B35" s="7">
        <v>0</v>
      </c>
      <c r="C35" s="10">
        <v>0</v>
      </c>
      <c r="D35" s="25">
        <v>0</v>
      </c>
      <c r="E35" s="28">
        <v>0</v>
      </c>
      <c r="F35" s="13">
        <f t="shared" si="1"/>
        <v>0</v>
      </c>
      <c r="G35" s="22">
        <v>380</v>
      </c>
      <c r="H35" s="19">
        <f t="shared" si="0"/>
        <v>0</v>
      </c>
      <c r="I35" s="16">
        <v>0</v>
      </c>
    </row>
    <row r="36" spans="1:9" x14ac:dyDescent="0.25">
      <c r="A36" t="s">
        <v>32</v>
      </c>
      <c r="B36" s="7">
        <v>19</v>
      </c>
      <c r="C36" s="10">
        <v>0</v>
      </c>
      <c r="D36" s="25">
        <v>0</v>
      </c>
      <c r="E36" s="28">
        <v>0</v>
      </c>
      <c r="F36" s="13">
        <f t="shared" si="1"/>
        <v>5</v>
      </c>
      <c r="G36" s="22">
        <v>250</v>
      </c>
      <c r="H36" s="19">
        <f t="shared" si="0"/>
        <v>1250</v>
      </c>
      <c r="I36" s="16">
        <v>14</v>
      </c>
    </row>
    <row r="37" spans="1:9" x14ac:dyDescent="0.25">
      <c r="A37" t="s">
        <v>36</v>
      </c>
      <c r="B37" s="7">
        <v>15</v>
      </c>
      <c r="C37" s="10">
        <v>0</v>
      </c>
      <c r="D37" s="25">
        <v>0</v>
      </c>
      <c r="E37" s="28">
        <v>0</v>
      </c>
      <c r="F37" s="13">
        <f t="shared" si="1"/>
        <v>0</v>
      </c>
      <c r="G37" s="22">
        <v>350</v>
      </c>
      <c r="H37" s="19">
        <f t="shared" si="0"/>
        <v>0</v>
      </c>
      <c r="I37" s="16">
        <v>15</v>
      </c>
    </row>
    <row r="38" spans="1:9" x14ac:dyDescent="0.25">
      <c r="A38" t="s">
        <v>114</v>
      </c>
      <c r="B38" s="7">
        <v>0</v>
      </c>
      <c r="C38" s="10">
        <v>33</v>
      </c>
      <c r="D38" s="25">
        <v>0</v>
      </c>
      <c r="E38" s="28">
        <v>0</v>
      </c>
      <c r="F38" s="13">
        <f t="shared" si="1"/>
        <v>1</v>
      </c>
      <c r="G38" s="22">
        <v>550</v>
      </c>
      <c r="H38" s="19">
        <f t="shared" si="0"/>
        <v>550</v>
      </c>
      <c r="I38" s="16">
        <v>32</v>
      </c>
    </row>
    <row r="39" spans="1:9" x14ac:dyDescent="0.25">
      <c r="A39" t="s">
        <v>48</v>
      </c>
      <c r="B39" s="7">
        <v>8</v>
      </c>
      <c r="C39" s="10">
        <v>0</v>
      </c>
      <c r="D39" s="25">
        <v>0</v>
      </c>
      <c r="E39" s="28">
        <v>0</v>
      </c>
      <c r="F39" s="13">
        <f t="shared" si="1"/>
        <v>1</v>
      </c>
      <c r="G39" s="22">
        <v>450</v>
      </c>
      <c r="H39" s="19">
        <f t="shared" si="0"/>
        <v>450</v>
      </c>
      <c r="I39" s="16">
        <v>7</v>
      </c>
    </row>
    <row r="40" spans="1:9" x14ac:dyDescent="0.25">
      <c r="A40" t="s">
        <v>121</v>
      </c>
      <c r="B40" s="7">
        <v>0</v>
      </c>
      <c r="C40" s="10">
        <v>10</v>
      </c>
      <c r="D40" s="25">
        <v>0</v>
      </c>
      <c r="E40" s="28">
        <v>0</v>
      </c>
      <c r="F40" s="13">
        <f t="shared" si="1"/>
        <v>1</v>
      </c>
      <c r="G40" s="22">
        <v>2200</v>
      </c>
      <c r="H40" s="19">
        <f t="shared" si="0"/>
        <v>2200</v>
      </c>
      <c r="I40" s="16">
        <v>9</v>
      </c>
    </row>
    <row r="41" spans="1:9" x14ac:dyDescent="0.25">
      <c r="A41" t="s">
        <v>122</v>
      </c>
      <c r="B41" s="7">
        <v>0</v>
      </c>
      <c r="C41" s="10">
        <v>49</v>
      </c>
      <c r="D41" s="25">
        <v>0</v>
      </c>
      <c r="E41" s="28">
        <v>0</v>
      </c>
      <c r="F41" s="13">
        <f t="shared" si="1"/>
        <v>0</v>
      </c>
      <c r="G41" s="22">
        <v>320</v>
      </c>
      <c r="H41" s="19">
        <f t="shared" si="0"/>
        <v>0</v>
      </c>
      <c r="I41" s="16">
        <v>49</v>
      </c>
    </row>
    <row r="42" spans="1:9" x14ac:dyDescent="0.25">
      <c r="A42" t="s">
        <v>40</v>
      </c>
      <c r="B42" s="7">
        <v>4</v>
      </c>
      <c r="C42" s="10">
        <v>5</v>
      </c>
      <c r="D42" s="25">
        <v>0</v>
      </c>
      <c r="E42" s="28">
        <v>0</v>
      </c>
      <c r="F42" s="13">
        <f t="shared" si="1"/>
        <v>0</v>
      </c>
      <c r="G42" s="22">
        <v>1100</v>
      </c>
      <c r="H42" s="19">
        <f t="shared" si="0"/>
        <v>0</v>
      </c>
      <c r="I42" s="16">
        <v>9</v>
      </c>
    </row>
    <row r="43" spans="1:9" x14ac:dyDescent="0.25">
      <c r="A43" t="s">
        <v>81</v>
      </c>
      <c r="B43" s="7">
        <v>13</v>
      </c>
      <c r="C43" s="10">
        <v>7</v>
      </c>
      <c r="D43" s="25">
        <v>0</v>
      </c>
      <c r="E43" s="28">
        <v>0</v>
      </c>
      <c r="F43" s="13">
        <f t="shared" si="1"/>
        <v>0</v>
      </c>
      <c r="G43" s="22">
        <v>460</v>
      </c>
      <c r="H43" s="19">
        <f t="shared" si="0"/>
        <v>0</v>
      </c>
      <c r="I43" s="16">
        <v>20</v>
      </c>
    </row>
    <row r="44" spans="1:9" x14ac:dyDescent="0.25">
      <c r="A44" t="s">
        <v>99</v>
      </c>
      <c r="B44" s="8">
        <v>153</v>
      </c>
      <c r="C44" s="10">
        <v>0</v>
      </c>
      <c r="D44" s="25">
        <v>0</v>
      </c>
      <c r="E44" s="28">
        <v>0</v>
      </c>
      <c r="F44" s="13">
        <f t="shared" si="1"/>
        <v>20</v>
      </c>
      <c r="G44" s="23">
        <v>220</v>
      </c>
      <c r="H44" s="19">
        <f t="shared" si="0"/>
        <v>4400</v>
      </c>
      <c r="I44" s="16">
        <v>133</v>
      </c>
    </row>
    <row r="45" spans="1:9" x14ac:dyDescent="0.25">
      <c r="A45" t="s">
        <v>70</v>
      </c>
      <c r="B45" s="7">
        <v>6</v>
      </c>
      <c r="C45" s="10">
        <v>8</v>
      </c>
      <c r="D45" s="25">
        <v>0</v>
      </c>
      <c r="E45" s="28">
        <v>0</v>
      </c>
      <c r="F45" s="13">
        <f t="shared" si="1"/>
        <v>2</v>
      </c>
      <c r="G45" s="22">
        <v>1300</v>
      </c>
      <c r="H45" s="19">
        <f t="shared" si="0"/>
        <v>2600</v>
      </c>
      <c r="I45" s="16">
        <v>12</v>
      </c>
    </row>
    <row r="46" spans="1:9" x14ac:dyDescent="0.25">
      <c r="A46" t="s">
        <v>76</v>
      </c>
      <c r="B46" s="7">
        <v>7</v>
      </c>
      <c r="C46" s="10">
        <v>6</v>
      </c>
      <c r="D46" s="25">
        <v>0</v>
      </c>
      <c r="E46" s="28">
        <v>0</v>
      </c>
      <c r="F46" s="13">
        <f t="shared" si="1"/>
        <v>0</v>
      </c>
      <c r="G46" s="22">
        <v>800</v>
      </c>
      <c r="H46" s="19">
        <f t="shared" si="0"/>
        <v>0</v>
      </c>
      <c r="I46" s="16">
        <v>13</v>
      </c>
    </row>
    <row r="47" spans="1:9" x14ac:dyDescent="0.25">
      <c r="A47" t="s">
        <v>33</v>
      </c>
      <c r="B47" s="7">
        <v>43</v>
      </c>
      <c r="C47" s="10">
        <v>0</v>
      </c>
      <c r="D47" s="25">
        <v>0</v>
      </c>
      <c r="E47" s="28">
        <v>0</v>
      </c>
      <c r="F47" s="13">
        <f t="shared" si="1"/>
        <v>5</v>
      </c>
      <c r="G47" s="22">
        <v>10</v>
      </c>
      <c r="H47" s="19">
        <f t="shared" si="0"/>
        <v>50</v>
      </c>
      <c r="I47" s="16">
        <v>38</v>
      </c>
    </row>
    <row r="48" spans="1:9" x14ac:dyDescent="0.25">
      <c r="A48" t="s">
        <v>61</v>
      </c>
      <c r="B48" s="7">
        <v>0</v>
      </c>
      <c r="C48" s="10">
        <v>0</v>
      </c>
      <c r="D48" s="25">
        <v>0</v>
      </c>
      <c r="E48" s="28">
        <v>0</v>
      </c>
      <c r="F48" s="13">
        <f t="shared" si="1"/>
        <v>0</v>
      </c>
      <c r="G48" s="23">
        <v>400</v>
      </c>
      <c r="H48" s="19">
        <f t="shared" si="0"/>
        <v>0</v>
      </c>
      <c r="I48" s="16">
        <v>0</v>
      </c>
    </row>
    <row r="49" spans="1:9" x14ac:dyDescent="0.25">
      <c r="A49" t="s">
        <v>98</v>
      </c>
      <c r="B49" s="7">
        <v>4.3</v>
      </c>
      <c r="C49" s="10">
        <v>0</v>
      </c>
      <c r="D49" s="25">
        <v>0</v>
      </c>
      <c r="E49" s="28">
        <v>0</v>
      </c>
      <c r="F49" s="13">
        <v>2.08</v>
      </c>
      <c r="G49" s="23">
        <v>800</v>
      </c>
      <c r="H49" s="19">
        <f t="shared" si="0"/>
        <v>1664</v>
      </c>
      <c r="I49" s="16">
        <f>B49-F49</f>
        <v>2.2199999999999998</v>
      </c>
    </row>
    <row r="50" spans="1:9" x14ac:dyDescent="0.25">
      <c r="A50" t="s">
        <v>6</v>
      </c>
      <c r="B50" s="7">
        <v>0</v>
      </c>
      <c r="C50" s="10">
        <v>0</v>
      </c>
      <c r="D50" s="25">
        <v>0</v>
      </c>
      <c r="E50" s="28">
        <v>0</v>
      </c>
      <c r="F50" s="13">
        <f t="shared" si="1"/>
        <v>0</v>
      </c>
      <c r="G50" s="22">
        <v>550</v>
      </c>
      <c r="H50" s="19">
        <f t="shared" si="0"/>
        <v>0</v>
      </c>
      <c r="I50" s="16">
        <v>0</v>
      </c>
    </row>
    <row r="51" spans="1:9" x14ac:dyDescent="0.25">
      <c r="A51" t="s">
        <v>8</v>
      </c>
      <c r="B51" s="7">
        <v>13</v>
      </c>
      <c r="C51" s="10">
        <v>0</v>
      </c>
      <c r="D51" s="25">
        <v>0</v>
      </c>
      <c r="E51" s="28">
        <v>0</v>
      </c>
      <c r="F51" s="13">
        <f t="shared" si="1"/>
        <v>1</v>
      </c>
      <c r="G51" s="22">
        <v>550</v>
      </c>
      <c r="H51" s="19">
        <f t="shared" si="0"/>
        <v>550</v>
      </c>
      <c r="I51" s="16">
        <v>12</v>
      </c>
    </row>
    <row r="52" spans="1:9" x14ac:dyDescent="0.25">
      <c r="A52" t="s">
        <v>108</v>
      </c>
      <c r="B52" s="7">
        <v>0</v>
      </c>
      <c r="C52" s="10">
        <v>0</v>
      </c>
      <c r="D52" s="25">
        <v>0</v>
      </c>
      <c r="E52" s="28">
        <v>0</v>
      </c>
      <c r="F52" s="13">
        <f t="shared" si="1"/>
        <v>0</v>
      </c>
      <c r="G52" s="22">
        <v>550</v>
      </c>
      <c r="H52" s="19">
        <f t="shared" si="0"/>
        <v>0</v>
      </c>
      <c r="I52" s="16">
        <v>0</v>
      </c>
    </row>
    <row r="53" spans="1:9" x14ac:dyDescent="0.25">
      <c r="A53" t="s">
        <v>109</v>
      </c>
      <c r="B53" s="7">
        <v>2</v>
      </c>
      <c r="C53" s="10">
        <v>0</v>
      </c>
      <c r="D53" s="25">
        <v>0</v>
      </c>
      <c r="E53" s="28">
        <v>0</v>
      </c>
      <c r="F53" s="13">
        <f t="shared" si="1"/>
        <v>1</v>
      </c>
      <c r="G53" s="22">
        <v>1400</v>
      </c>
      <c r="H53" s="19">
        <f t="shared" si="0"/>
        <v>1400</v>
      </c>
      <c r="I53" s="16">
        <v>1</v>
      </c>
    </row>
    <row r="54" spans="1:9" x14ac:dyDescent="0.25">
      <c r="A54" t="s">
        <v>95</v>
      </c>
      <c r="B54" s="7">
        <v>0</v>
      </c>
      <c r="C54" s="10">
        <v>0</v>
      </c>
      <c r="D54" s="25">
        <v>0</v>
      </c>
      <c r="E54" s="28">
        <v>0</v>
      </c>
      <c r="F54" s="13">
        <f t="shared" si="1"/>
        <v>0</v>
      </c>
      <c r="G54" s="22">
        <v>1400</v>
      </c>
      <c r="H54" s="19">
        <f t="shared" si="0"/>
        <v>0</v>
      </c>
      <c r="I54" s="16">
        <v>0</v>
      </c>
    </row>
    <row r="55" spans="1:9" x14ac:dyDescent="0.25">
      <c r="A55" t="s">
        <v>106</v>
      </c>
      <c r="B55" s="7">
        <v>33</v>
      </c>
      <c r="C55" s="10">
        <v>12</v>
      </c>
      <c r="D55" s="25">
        <v>0</v>
      </c>
      <c r="E55" s="28">
        <v>0</v>
      </c>
      <c r="F55" s="13">
        <f t="shared" si="1"/>
        <v>0</v>
      </c>
      <c r="G55" s="22">
        <v>600</v>
      </c>
      <c r="H55" s="19">
        <f t="shared" si="0"/>
        <v>0</v>
      </c>
      <c r="I55" s="16">
        <v>45</v>
      </c>
    </row>
    <row r="56" spans="1:9" x14ac:dyDescent="0.25">
      <c r="A56" t="s">
        <v>23</v>
      </c>
      <c r="B56" s="7">
        <v>6</v>
      </c>
      <c r="C56" s="10">
        <v>2</v>
      </c>
      <c r="D56" s="25">
        <v>0</v>
      </c>
      <c r="E56" s="28">
        <v>0</v>
      </c>
      <c r="F56" s="13">
        <f t="shared" si="1"/>
        <v>0</v>
      </c>
      <c r="G56" s="22">
        <v>1500</v>
      </c>
      <c r="H56" s="19">
        <f t="shared" si="0"/>
        <v>0</v>
      </c>
      <c r="I56" s="16">
        <v>8</v>
      </c>
    </row>
    <row r="57" spans="1:9" x14ac:dyDescent="0.25">
      <c r="A57" t="s">
        <v>26</v>
      </c>
      <c r="B57" s="7">
        <v>5</v>
      </c>
      <c r="C57" s="10">
        <v>4</v>
      </c>
      <c r="D57" s="25">
        <v>0</v>
      </c>
      <c r="E57" s="28">
        <v>0</v>
      </c>
      <c r="F57" s="13">
        <f t="shared" si="1"/>
        <v>1</v>
      </c>
      <c r="G57" s="22">
        <v>1000</v>
      </c>
      <c r="H57" s="19">
        <f t="shared" si="0"/>
        <v>1000</v>
      </c>
      <c r="I57" s="16">
        <v>8</v>
      </c>
    </row>
    <row r="58" spans="1:9" x14ac:dyDescent="0.25">
      <c r="A58" t="s">
        <v>72</v>
      </c>
      <c r="B58" s="7">
        <v>8</v>
      </c>
      <c r="C58" s="10">
        <v>0</v>
      </c>
      <c r="D58" s="25">
        <v>0</v>
      </c>
      <c r="E58" s="28">
        <v>0</v>
      </c>
      <c r="F58" s="13">
        <f t="shared" si="1"/>
        <v>0</v>
      </c>
      <c r="G58" s="22">
        <v>1050</v>
      </c>
      <c r="H58" s="19">
        <f t="shared" si="0"/>
        <v>0</v>
      </c>
      <c r="I58" s="16">
        <v>8</v>
      </c>
    </row>
    <row r="59" spans="1:9" x14ac:dyDescent="0.25">
      <c r="A59" t="s">
        <v>110</v>
      </c>
      <c r="B59" s="7">
        <v>0</v>
      </c>
      <c r="C59" s="10">
        <v>0</v>
      </c>
      <c r="D59" s="25">
        <v>0</v>
      </c>
      <c r="E59" s="28">
        <v>0</v>
      </c>
      <c r="F59" s="13">
        <f t="shared" si="1"/>
        <v>0</v>
      </c>
      <c r="G59" s="22">
        <v>1600</v>
      </c>
      <c r="H59" s="19">
        <f t="shared" si="0"/>
        <v>0</v>
      </c>
      <c r="I59" s="16">
        <v>0</v>
      </c>
    </row>
    <row r="60" spans="1:9" x14ac:dyDescent="0.25">
      <c r="A60" t="s">
        <v>3</v>
      </c>
      <c r="B60" s="7">
        <v>13</v>
      </c>
      <c r="C60" s="10">
        <v>12</v>
      </c>
      <c r="D60" s="25">
        <v>0</v>
      </c>
      <c r="E60" s="28">
        <v>0</v>
      </c>
      <c r="F60" s="13">
        <f t="shared" si="1"/>
        <v>1</v>
      </c>
      <c r="G60" s="22">
        <v>550</v>
      </c>
      <c r="H60" s="19">
        <f t="shared" si="0"/>
        <v>550</v>
      </c>
      <c r="I60" s="16">
        <v>24</v>
      </c>
    </row>
    <row r="61" spans="1:9" x14ac:dyDescent="0.25">
      <c r="A61" t="s">
        <v>68</v>
      </c>
      <c r="B61" s="7">
        <v>9</v>
      </c>
      <c r="C61" s="10">
        <v>48</v>
      </c>
      <c r="D61" s="25">
        <v>0</v>
      </c>
      <c r="E61" s="28">
        <v>0</v>
      </c>
      <c r="F61" s="13">
        <f t="shared" si="1"/>
        <v>1</v>
      </c>
      <c r="G61" s="22">
        <v>80</v>
      </c>
      <c r="H61" s="19">
        <f t="shared" si="0"/>
        <v>80</v>
      </c>
      <c r="I61" s="16">
        <v>56</v>
      </c>
    </row>
    <row r="62" spans="1:9" x14ac:dyDescent="0.25">
      <c r="A62" t="s">
        <v>101</v>
      </c>
      <c r="B62" s="7">
        <v>21</v>
      </c>
      <c r="C62" s="10">
        <v>0</v>
      </c>
      <c r="D62" s="25">
        <v>0</v>
      </c>
      <c r="E62" s="28">
        <v>0</v>
      </c>
      <c r="F62" s="13">
        <f t="shared" si="1"/>
        <v>0</v>
      </c>
      <c r="G62" s="22">
        <v>850</v>
      </c>
      <c r="H62" s="19">
        <f t="shared" si="0"/>
        <v>0</v>
      </c>
      <c r="I62" s="16">
        <v>21</v>
      </c>
    </row>
    <row r="63" spans="1:9" x14ac:dyDescent="0.25">
      <c r="A63" t="s">
        <v>102</v>
      </c>
      <c r="B63" s="7">
        <v>12</v>
      </c>
      <c r="C63" s="10">
        <v>0</v>
      </c>
      <c r="D63" s="25">
        <v>0</v>
      </c>
      <c r="E63" s="28">
        <v>0</v>
      </c>
      <c r="F63" s="13">
        <f t="shared" si="1"/>
        <v>1</v>
      </c>
      <c r="G63" s="22">
        <v>1200</v>
      </c>
      <c r="H63" s="19">
        <f t="shared" si="0"/>
        <v>1200</v>
      </c>
      <c r="I63" s="16">
        <v>11</v>
      </c>
    </row>
    <row r="64" spans="1:9" x14ac:dyDescent="0.25">
      <c r="A64" t="s">
        <v>20</v>
      </c>
      <c r="B64" s="7">
        <v>9</v>
      </c>
      <c r="C64" s="10">
        <v>0</v>
      </c>
      <c r="D64" s="25">
        <v>0</v>
      </c>
      <c r="E64" s="28">
        <v>0</v>
      </c>
      <c r="F64" s="13">
        <f t="shared" si="1"/>
        <v>1</v>
      </c>
      <c r="G64" s="22">
        <v>1250</v>
      </c>
      <c r="H64" s="19">
        <f t="shared" si="0"/>
        <v>1250</v>
      </c>
      <c r="I64" s="16">
        <v>8</v>
      </c>
    </row>
    <row r="65" spans="1:19" x14ac:dyDescent="0.25">
      <c r="A65" t="s">
        <v>120</v>
      </c>
      <c r="B65" s="7">
        <v>0</v>
      </c>
      <c r="C65" s="10">
        <v>12</v>
      </c>
      <c r="D65" s="25">
        <v>0</v>
      </c>
      <c r="E65" s="28">
        <v>0</v>
      </c>
      <c r="F65" s="13">
        <f t="shared" si="1"/>
        <v>0</v>
      </c>
      <c r="G65" s="22">
        <v>1650</v>
      </c>
      <c r="H65" s="19">
        <f t="shared" si="0"/>
        <v>0</v>
      </c>
      <c r="I65" s="16">
        <v>12</v>
      </c>
    </row>
    <row r="66" spans="1:19" x14ac:dyDescent="0.25">
      <c r="A66" t="s">
        <v>59</v>
      </c>
      <c r="B66" s="7">
        <v>19</v>
      </c>
      <c r="C66" s="10">
        <v>0</v>
      </c>
      <c r="D66" s="25">
        <v>0</v>
      </c>
      <c r="E66" s="28">
        <v>0</v>
      </c>
      <c r="F66" s="13">
        <f t="shared" si="1"/>
        <v>0</v>
      </c>
      <c r="G66" s="22">
        <v>180</v>
      </c>
      <c r="H66" s="19">
        <f t="shared" si="0"/>
        <v>0</v>
      </c>
      <c r="I66" s="16">
        <v>19</v>
      </c>
    </row>
    <row r="67" spans="1:19" x14ac:dyDescent="0.25">
      <c r="A67" t="s">
        <v>52</v>
      </c>
      <c r="B67" s="7">
        <v>21</v>
      </c>
      <c r="C67" s="10">
        <v>0</v>
      </c>
      <c r="D67" s="25">
        <v>0</v>
      </c>
      <c r="E67" s="28">
        <v>0</v>
      </c>
      <c r="F67" s="13">
        <f t="shared" si="1"/>
        <v>1</v>
      </c>
      <c r="G67" s="22">
        <v>200</v>
      </c>
      <c r="H67" s="19">
        <f t="shared" si="0"/>
        <v>200</v>
      </c>
      <c r="I67" s="16">
        <v>20</v>
      </c>
    </row>
    <row r="68" spans="1:19" x14ac:dyDescent="0.25">
      <c r="A68" t="s">
        <v>49</v>
      </c>
      <c r="B68" s="7">
        <v>43</v>
      </c>
      <c r="C68" s="10">
        <v>0</v>
      </c>
      <c r="D68" s="25">
        <v>0</v>
      </c>
      <c r="E68" s="28">
        <v>0</v>
      </c>
      <c r="F68" s="13">
        <f t="shared" si="1"/>
        <v>1</v>
      </c>
      <c r="G68" s="22">
        <v>200</v>
      </c>
      <c r="H68" s="19">
        <f t="shared" si="0"/>
        <v>200</v>
      </c>
      <c r="I68" s="16">
        <v>42</v>
      </c>
    </row>
    <row r="69" spans="1:19" x14ac:dyDescent="0.25">
      <c r="A69" t="s">
        <v>58</v>
      </c>
      <c r="B69" s="7">
        <v>19</v>
      </c>
      <c r="C69" s="10">
        <v>0</v>
      </c>
      <c r="D69" s="25">
        <v>0</v>
      </c>
      <c r="E69" s="28">
        <v>0</v>
      </c>
      <c r="F69" s="13">
        <f t="shared" si="1"/>
        <v>0</v>
      </c>
      <c r="G69" s="22">
        <v>160</v>
      </c>
      <c r="H69" s="19">
        <f t="shared" si="0"/>
        <v>0</v>
      </c>
      <c r="I69" s="16">
        <v>19</v>
      </c>
    </row>
    <row r="70" spans="1:19" x14ac:dyDescent="0.25">
      <c r="A70" t="s">
        <v>50</v>
      </c>
      <c r="B70" s="7">
        <v>14</v>
      </c>
      <c r="C70" s="10">
        <v>0</v>
      </c>
      <c r="D70" s="25">
        <v>0</v>
      </c>
      <c r="E70" s="28">
        <v>0</v>
      </c>
      <c r="F70" s="13">
        <f t="shared" si="1"/>
        <v>3</v>
      </c>
      <c r="G70" s="22">
        <v>200</v>
      </c>
      <c r="H70" s="19">
        <f t="shared" si="0"/>
        <v>600</v>
      </c>
      <c r="I70" s="16">
        <v>11</v>
      </c>
    </row>
    <row r="71" spans="1:19" x14ac:dyDescent="0.25">
      <c r="A71" t="s">
        <v>51</v>
      </c>
      <c r="B71" s="7">
        <v>12</v>
      </c>
      <c r="C71" s="10">
        <v>0</v>
      </c>
      <c r="D71" s="25">
        <v>0</v>
      </c>
      <c r="E71" s="28">
        <v>0</v>
      </c>
      <c r="F71" s="13">
        <f t="shared" si="1"/>
        <v>2</v>
      </c>
      <c r="G71" s="22">
        <v>200</v>
      </c>
      <c r="H71" s="19">
        <f t="shared" si="0"/>
        <v>400</v>
      </c>
      <c r="I71" s="16">
        <v>10</v>
      </c>
    </row>
    <row r="72" spans="1:19" x14ac:dyDescent="0.25">
      <c r="A72" t="s">
        <v>44</v>
      </c>
      <c r="B72" s="7">
        <v>7</v>
      </c>
      <c r="C72" s="10">
        <v>0</v>
      </c>
      <c r="D72" s="25">
        <v>0</v>
      </c>
      <c r="E72" s="28">
        <v>0</v>
      </c>
      <c r="F72" s="13">
        <f t="shared" si="1"/>
        <v>2</v>
      </c>
      <c r="G72" s="22">
        <v>800</v>
      </c>
      <c r="H72" s="19">
        <f t="shared" si="0"/>
        <v>1600</v>
      </c>
      <c r="I72" s="16">
        <v>5</v>
      </c>
    </row>
    <row r="73" spans="1:19" x14ac:dyDescent="0.25">
      <c r="A73" t="s">
        <v>107</v>
      </c>
      <c r="B73" s="7">
        <v>6</v>
      </c>
      <c r="C73" s="10">
        <v>0</v>
      </c>
      <c r="D73" s="25">
        <v>0</v>
      </c>
      <c r="E73" s="28">
        <v>0</v>
      </c>
      <c r="F73" s="13">
        <f t="shared" si="1"/>
        <v>0</v>
      </c>
      <c r="G73" s="22">
        <v>220</v>
      </c>
      <c r="H73" s="19">
        <f t="shared" si="0"/>
        <v>0</v>
      </c>
      <c r="I73" s="16">
        <v>6</v>
      </c>
    </row>
    <row r="74" spans="1:19" x14ac:dyDescent="0.25">
      <c r="A74" t="s">
        <v>34</v>
      </c>
      <c r="B74" s="7">
        <v>0</v>
      </c>
      <c r="C74" s="10">
        <v>0</v>
      </c>
      <c r="D74" s="25">
        <v>0</v>
      </c>
      <c r="E74" s="28">
        <v>0</v>
      </c>
      <c r="F74" s="13">
        <f t="shared" si="1"/>
        <v>0</v>
      </c>
      <c r="G74" s="22">
        <v>2300</v>
      </c>
      <c r="H74" s="19">
        <f t="shared" si="0"/>
        <v>0</v>
      </c>
      <c r="I74" s="16">
        <v>0</v>
      </c>
    </row>
    <row r="75" spans="1:19" x14ac:dyDescent="0.25">
      <c r="A75" t="s">
        <v>35</v>
      </c>
      <c r="B75" s="7">
        <v>1</v>
      </c>
      <c r="C75" s="10">
        <v>0</v>
      </c>
      <c r="D75" s="25">
        <v>0</v>
      </c>
      <c r="E75" s="28">
        <v>0</v>
      </c>
      <c r="F75" s="13">
        <f t="shared" ref="F75:F105" si="2">B75+C75-I75</f>
        <v>0</v>
      </c>
      <c r="G75" s="22">
        <v>2320</v>
      </c>
      <c r="H75" s="19">
        <f t="shared" ref="H75:H105" si="3">F75*G75</f>
        <v>0</v>
      </c>
      <c r="I75" s="16">
        <v>1</v>
      </c>
    </row>
    <row r="76" spans="1:19" x14ac:dyDescent="0.25">
      <c r="A76" t="s">
        <v>24</v>
      </c>
      <c r="B76" s="7">
        <v>5</v>
      </c>
      <c r="C76" s="10">
        <v>3</v>
      </c>
      <c r="D76" s="25">
        <v>0</v>
      </c>
      <c r="E76" s="28">
        <v>0</v>
      </c>
      <c r="F76" s="13">
        <f t="shared" si="2"/>
        <v>2</v>
      </c>
      <c r="G76" s="22">
        <v>2900</v>
      </c>
      <c r="H76" s="19">
        <f t="shared" si="3"/>
        <v>5800</v>
      </c>
      <c r="I76" s="16">
        <v>6</v>
      </c>
    </row>
    <row r="77" spans="1:19" x14ac:dyDescent="0.25">
      <c r="A77" t="s">
        <v>113</v>
      </c>
      <c r="B77" s="7">
        <v>14</v>
      </c>
      <c r="C77" s="10">
        <v>2</v>
      </c>
      <c r="D77" s="25">
        <v>0</v>
      </c>
      <c r="E77" s="28">
        <v>0</v>
      </c>
      <c r="F77" s="13">
        <f t="shared" ref="F77" si="4">B77+C77-I77</f>
        <v>1</v>
      </c>
      <c r="G77" s="22">
        <v>850</v>
      </c>
      <c r="H77" s="19">
        <f t="shared" si="3"/>
        <v>850</v>
      </c>
      <c r="I77" s="16">
        <v>15</v>
      </c>
    </row>
    <row r="78" spans="1:19" x14ac:dyDescent="0.25">
      <c r="A78" t="s">
        <v>31</v>
      </c>
      <c r="B78" s="7">
        <v>25</v>
      </c>
      <c r="C78" s="10">
        <v>15</v>
      </c>
      <c r="D78" s="25">
        <v>0</v>
      </c>
      <c r="E78" s="28">
        <v>0</v>
      </c>
      <c r="F78" s="13">
        <f t="shared" ref="F78" si="5">B78+C78-I78</f>
        <v>1</v>
      </c>
      <c r="G78" s="22">
        <v>550</v>
      </c>
      <c r="H78" s="19">
        <f t="shared" si="3"/>
        <v>550</v>
      </c>
      <c r="I78" s="16">
        <v>39</v>
      </c>
      <c r="L78" s="3"/>
      <c r="M78" s="3"/>
      <c r="N78" s="3"/>
      <c r="O78" s="3"/>
      <c r="P78" s="5"/>
      <c r="Q78" s="3"/>
      <c r="R78" s="3"/>
      <c r="S78" s="3"/>
    </row>
    <row r="79" spans="1:19" x14ac:dyDescent="0.25">
      <c r="A79" t="s">
        <v>46</v>
      </c>
      <c r="B79" s="7">
        <v>0</v>
      </c>
      <c r="C79" s="10">
        <v>0</v>
      </c>
      <c r="D79" s="25">
        <v>0</v>
      </c>
      <c r="E79" s="28">
        <v>0</v>
      </c>
      <c r="F79" s="13">
        <f t="shared" si="2"/>
        <v>0</v>
      </c>
      <c r="G79" s="22">
        <v>300</v>
      </c>
      <c r="H79" s="19">
        <f t="shared" si="3"/>
        <v>0</v>
      </c>
      <c r="I79" s="16">
        <v>0</v>
      </c>
    </row>
    <row r="80" spans="1:19" x14ac:dyDescent="0.25">
      <c r="A80" t="s">
        <v>111</v>
      </c>
      <c r="B80" s="7">
        <v>2</v>
      </c>
      <c r="C80" s="10">
        <v>0</v>
      </c>
      <c r="D80" s="25">
        <v>0</v>
      </c>
      <c r="E80" s="28">
        <v>0</v>
      </c>
      <c r="F80" s="13">
        <f t="shared" si="2"/>
        <v>2</v>
      </c>
      <c r="G80" s="22">
        <v>300</v>
      </c>
      <c r="H80" s="19">
        <f t="shared" si="3"/>
        <v>600</v>
      </c>
      <c r="I80" s="16">
        <v>0</v>
      </c>
    </row>
    <row r="81" spans="1:9" x14ac:dyDescent="0.25">
      <c r="A81" t="s">
        <v>55</v>
      </c>
      <c r="B81" s="7">
        <v>5</v>
      </c>
      <c r="C81" s="10">
        <v>0</v>
      </c>
      <c r="D81" s="25">
        <v>0</v>
      </c>
      <c r="E81" s="28">
        <v>0</v>
      </c>
      <c r="F81" s="13">
        <f t="shared" si="2"/>
        <v>1</v>
      </c>
      <c r="G81" s="22">
        <v>150</v>
      </c>
      <c r="H81" s="19">
        <f t="shared" si="3"/>
        <v>150</v>
      </c>
      <c r="I81" s="16">
        <v>4</v>
      </c>
    </row>
    <row r="82" spans="1:9" x14ac:dyDescent="0.25">
      <c r="A82" t="s">
        <v>54</v>
      </c>
      <c r="B82" s="7">
        <v>17</v>
      </c>
      <c r="C82" s="10">
        <v>0</v>
      </c>
      <c r="D82" s="25">
        <v>0</v>
      </c>
      <c r="E82" s="28">
        <v>0</v>
      </c>
      <c r="F82" s="13">
        <f t="shared" si="2"/>
        <v>0</v>
      </c>
      <c r="G82" s="22">
        <v>200</v>
      </c>
      <c r="H82" s="19">
        <f t="shared" si="3"/>
        <v>0</v>
      </c>
      <c r="I82" s="16">
        <v>17</v>
      </c>
    </row>
    <row r="83" spans="1:9" x14ac:dyDescent="0.25">
      <c r="A83" t="s">
        <v>56</v>
      </c>
      <c r="B83" s="7">
        <v>23</v>
      </c>
      <c r="C83" s="10">
        <v>0</v>
      </c>
      <c r="D83" s="25">
        <v>0</v>
      </c>
      <c r="E83" s="28">
        <v>0</v>
      </c>
      <c r="F83" s="13">
        <f t="shared" si="2"/>
        <v>1</v>
      </c>
      <c r="G83" s="22">
        <v>150</v>
      </c>
      <c r="H83" s="19">
        <f t="shared" si="3"/>
        <v>150</v>
      </c>
      <c r="I83" s="16">
        <v>22</v>
      </c>
    </row>
    <row r="84" spans="1:9" x14ac:dyDescent="0.25">
      <c r="A84" t="s">
        <v>53</v>
      </c>
      <c r="B84" s="7">
        <v>23</v>
      </c>
      <c r="C84" s="10">
        <v>0</v>
      </c>
      <c r="D84" s="25">
        <v>0</v>
      </c>
      <c r="E84" s="28">
        <v>0</v>
      </c>
      <c r="F84" s="13">
        <f t="shared" si="2"/>
        <v>0</v>
      </c>
      <c r="G84" s="22">
        <v>160</v>
      </c>
      <c r="H84" s="19">
        <f t="shared" si="3"/>
        <v>0</v>
      </c>
      <c r="I84" s="16">
        <v>23</v>
      </c>
    </row>
    <row r="85" spans="1:9" x14ac:dyDescent="0.25">
      <c r="A85" t="s">
        <v>57</v>
      </c>
      <c r="B85" s="7">
        <v>5</v>
      </c>
      <c r="C85" s="10">
        <v>0</v>
      </c>
      <c r="D85" s="25">
        <v>0</v>
      </c>
      <c r="E85" s="28">
        <v>0</v>
      </c>
      <c r="F85" s="13">
        <f t="shared" si="2"/>
        <v>2</v>
      </c>
      <c r="G85" s="22">
        <v>220</v>
      </c>
      <c r="H85" s="19">
        <f t="shared" si="3"/>
        <v>440</v>
      </c>
      <c r="I85" s="16">
        <v>3</v>
      </c>
    </row>
    <row r="86" spans="1:9" x14ac:dyDescent="0.25">
      <c r="A86" t="s">
        <v>63</v>
      </c>
      <c r="B86" s="7">
        <v>23</v>
      </c>
      <c r="C86" s="10">
        <v>0</v>
      </c>
      <c r="D86" s="25">
        <v>0</v>
      </c>
      <c r="E86" s="28">
        <v>0</v>
      </c>
      <c r="F86" s="13">
        <f t="shared" si="2"/>
        <v>2</v>
      </c>
      <c r="G86" s="22">
        <v>850</v>
      </c>
      <c r="H86" s="19">
        <f t="shared" si="3"/>
        <v>1700</v>
      </c>
      <c r="I86" s="16">
        <v>21</v>
      </c>
    </row>
    <row r="87" spans="1:9" x14ac:dyDescent="0.25">
      <c r="A87" t="s">
        <v>64</v>
      </c>
      <c r="B87" s="7">
        <v>0</v>
      </c>
      <c r="C87" s="10">
        <v>0</v>
      </c>
      <c r="D87" s="25">
        <v>0</v>
      </c>
      <c r="E87" s="28">
        <v>0</v>
      </c>
      <c r="F87" s="13">
        <f t="shared" si="2"/>
        <v>0</v>
      </c>
      <c r="G87" s="22">
        <v>0</v>
      </c>
      <c r="H87" s="19">
        <f t="shared" si="3"/>
        <v>0</v>
      </c>
      <c r="I87" s="16">
        <v>0</v>
      </c>
    </row>
    <row r="88" spans="1:9" x14ac:dyDescent="0.25">
      <c r="A88" t="s">
        <v>74</v>
      </c>
      <c r="B88" s="7">
        <v>0</v>
      </c>
      <c r="C88" s="10">
        <v>0</v>
      </c>
      <c r="D88" s="25">
        <v>0</v>
      </c>
      <c r="E88" s="28">
        <v>0</v>
      </c>
      <c r="F88" s="13">
        <f t="shared" si="2"/>
        <v>0</v>
      </c>
      <c r="G88" s="22">
        <v>950</v>
      </c>
      <c r="H88" s="19">
        <f t="shared" si="3"/>
        <v>0</v>
      </c>
      <c r="I88" s="16">
        <v>0</v>
      </c>
    </row>
    <row r="89" spans="1:9" x14ac:dyDescent="0.25">
      <c r="A89" t="s">
        <v>96</v>
      </c>
      <c r="B89" s="8">
        <v>33.4</v>
      </c>
      <c r="C89" s="10">
        <v>0</v>
      </c>
      <c r="D89" s="25">
        <v>0</v>
      </c>
      <c r="E89" s="28">
        <v>0</v>
      </c>
      <c r="F89" s="13">
        <v>7.04</v>
      </c>
      <c r="G89" s="22">
        <v>1000</v>
      </c>
      <c r="H89" s="19">
        <f t="shared" si="3"/>
        <v>7040</v>
      </c>
      <c r="I89" s="16">
        <f>B89-F89</f>
        <v>26.36</v>
      </c>
    </row>
    <row r="90" spans="1:9" x14ac:dyDescent="0.25">
      <c r="A90" t="s">
        <v>105</v>
      </c>
      <c r="B90" s="7">
        <v>3</v>
      </c>
      <c r="C90" s="10">
        <v>9</v>
      </c>
      <c r="D90" s="25">
        <v>0</v>
      </c>
      <c r="E90" s="28">
        <v>0</v>
      </c>
      <c r="F90" s="13">
        <f t="shared" si="2"/>
        <v>5</v>
      </c>
      <c r="G90" s="22">
        <v>1000</v>
      </c>
      <c r="H90" s="19">
        <f t="shared" si="3"/>
        <v>5000</v>
      </c>
      <c r="I90" s="16">
        <v>7</v>
      </c>
    </row>
    <row r="91" spans="1:9" x14ac:dyDescent="0.25">
      <c r="A91" t="s">
        <v>94</v>
      </c>
      <c r="B91" s="7">
        <v>98</v>
      </c>
      <c r="C91" s="10">
        <v>0</v>
      </c>
      <c r="D91" s="25">
        <v>0</v>
      </c>
      <c r="E91" s="28">
        <v>0</v>
      </c>
      <c r="F91" s="13">
        <f t="shared" si="2"/>
        <v>2</v>
      </c>
      <c r="G91" s="22">
        <v>220</v>
      </c>
      <c r="H91" s="19">
        <f t="shared" si="3"/>
        <v>440</v>
      </c>
      <c r="I91" s="16">
        <v>96</v>
      </c>
    </row>
    <row r="92" spans="1:9" x14ac:dyDescent="0.25">
      <c r="A92" t="s">
        <v>112</v>
      </c>
      <c r="B92" s="7">
        <v>0</v>
      </c>
      <c r="C92" s="10">
        <v>0</v>
      </c>
      <c r="D92" s="25">
        <v>0</v>
      </c>
      <c r="E92" s="28">
        <v>0</v>
      </c>
      <c r="F92" s="13">
        <f t="shared" si="2"/>
        <v>0</v>
      </c>
      <c r="G92" s="22">
        <v>1300</v>
      </c>
      <c r="H92" s="19">
        <f t="shared" si="3"/>
        <v>0</v>
      </c>
      <c r="I92" s="16">
        <v>0</v>
      </c>
    </row>
    <row r="93" spans="1:9" x14ac:dyDescent="0.25">
      <c r="A93" t="s">
        <v>2</v>
      </c>
      <c r="B93" s="7">
        <v>13</v>
      </c>
      <c r="C93" s="10">
        <v>24</v>
      </c>
      <c r="D93" s="25">
        <v>0</v>
      </c>
      <c r="E93" s="28">
        <v>0</v>
      </c>
      <c r="F93" s="13">
        <f t="shared" si="2"/>
        <v>0</v>
      </c>
      <c r="G93" s="22">
        <v>550</v>
      </c>
      <c r="H93" s="19">
        <f t="shared" si="3"/>
        <v>0</v>
      </c>
      <c r="I93" s="16">
        <v>37</v>
      </c>
    </row>
    <row r="94" spans="1:9" x14ac:dyDescent="0.25">
      <c r="A94" t="s">
        <v>104</v>
      </c>
      <c r="B94" s="7">
        <v>3</v>
      </c>
      <c r="C94" s="10">
        <v>6</v>
      </c>
      <c r="D94" s="25">
        <v>0</v>
      </c>
      <c r="E94" s="28">
        <v>0</v>
      </c>
      <c r="F94" s="13">
        <f t="shared" si="2"/>
        <v>1</v>
      </c>
      <c r="G94" s="22">
        <v>1000</v>
      </c>
      <c r="H94" s="19">
        <f t="shared" si="3"/>
        <v>1000</v>
      </c>
      <c r="I94" s="16">
        <v>8</v>
      </c>
    </row>
    <row r="95" spans="1:9" x14ac:dyDescent="0.25">
      <c r="A95" t="s">
        <v>45</v>
      </c>
      <c r="B95" s="7">
        <v>21</v>
      </c>
      <c r="C95" s="10">
        <v>0</v>
      </c>
      <c r="D95" s="25">
        <v>0</v>
      </c>
      <c r="E95" s="28">
        <v>0</v>
      </c>
      <c r="F95" s="13">
        <f t="shared" si="2"/>
        <v>2</v>
      </c>
      <c r="G95" s="22">
        <v>70</v>
      </c>
      <c r="H95" s="19">
        <f t="shared" si="3"/>
        <v>140</v>
      </c>
      <c r="I95" s="16">
        <v>19</v>
      </c>
    </row>
    <row r="96" spans="1:9" x14ac:dyDescent="0.25">
      <c r="A96" t="s">
        <v>119</v>
      </c>
      <c r="B96" s="7">
        <v>0</v>
      </c>
      <c r="C96" s="10">
        <v>24</v>
      </c>
      <c r="D96" s="25">
        <v>0</v>
      </c>
      <c r="E96" s="28">
        <v>0</v>
      </c>
      <c r="F96" s="13">
        <f t="shared" si="2"/>
        <v>0</v>
      </c>
      <c r="G96" s="22">
        <v>950</v>
      </c>
      <c r="H96" s="19">
        <f t="shared" si="3"/>
        <v>0</v>
      </c>
      <c r="I96" s="16">
        <v>24</v>
      </c>
    </row>
    <row r="97" spans="1:9" x14ac:dyDescent="0.25">
      <c r="A97" t="s">
        <v>1</v>
      </c>
      <c r="B97" s="7">
        <v>3</v>
      </c>
      <c r="C97" s="10">
        <v>0</v>
      </c>
      <c r="D97" s="25">
        <v>0</v>
      </c>
      <c r="E97" s="28">
        <v>0</v>
      </c>
      <c r="F97" s="13">
        <f t="shared" si="2"/>
        <v>0</v>
      </c>
      <c r="G97" s="22">
        <v>850</v>
      </c>
      <c r="H97" s="19">
        <f t="shared" si="3"/>
        <v>0</v>
      </c>
      <c r="I97" s="16">
        <v>3</v>
      </c>
    </row>
    <row r="98" spans="1:9" x14ac:dyDescent="0.25">
      <c r="A98" t="s">
        <v>27</v>
      </c>
      <c r="B98" s="7">
        <v>12</v>
      </c>
      <c r="C98" s="10">
        <v>7</v>
      </c>
      <c r="D98" s="25">
        <v>0</v>
      </c>
      <c r="E98" s="28">
        <v>0</v>
      </c>
      <c r="F98" s="13">
        <f t="shared" si="2"/>
        <v>4</v>
      </c>
      <c r="G98" s="22">
        <v>350</v>
      </c>
      <c r="H98" s="19">
        <f t="shared" si="3"/>
        <v>1400</v>
      </c>
      <c r="I98" s="16">
        <v>15</v>
      </c>
    </row>
    <row r="99" spans="1:9" x14ac:dyDescent="0.25">
      <c r="A99" t="s">
        <v>37</v>
      </c>
      <c r="B99" s="7">
        <v>16</v>
      </c>
      <c r="C99" s="10">
        <v>8</v>
      </c>
      <c r="D99" s="25">
        <v>0</v>
      </c>
      <c r="E99" s="28">
        <v>0</v>
      </c>
      <c r="F99" s="13">
        <f t="shared" si="2"/>
        <v>0</v>
      </c>
      <c r="G99" s="22">
        <v>380</v>
      </c>
      <c r="H99" s="19">
        <f t="shared" si="3"/>
        <v>0</v>
      </c>
      <c r="I99" s="16">
        <v>24</v>
      </c>
    </row>
    <row r="100" spans="1:9" x14ac:dyDescent="0.25">
      <c r="A100" t="s">
        <v>100</v>
      </c>
      <c r="B100" s="7">
        <v>24</v>
      </c>
      <c r="C100" s="10">
        <v>0</v>
      </c>
      <c r="D100" s="25">
        <v>0</v>
      </c>
      <c r="E100" s="28">
        <v>0</v>
      </c>
      <c r="F100" s="13">
        <f t="shared" si="2"/>
        <v>0</v>
      </c>
      <c r="G100" s="22">
        <v>400</v>
      </c>
      <c r="H100" s="19">
        <f t="shared" si="3"/>
        <v>0</v>
      </c>
      <c r="I100" s="16">
        <v>24</v>
      </c>
    </row>
    <row r="101" spans="1:9" x14ac:dyDescent="0.25">
      <c r="A101" t="s">
        <v>80</v>
      </c>
      <c r="B101" s="7">
        <v>12</v>
      </c>
      <c r="C101" s="10">
        <v>0</v>
      </c>
      <c r="D101" s="25">
        <v>0</v>
      </c>
      <c r="E101" s="28">
        <v>0</v>
      </c>
      <c r="F101" s="13">
        <f t="shared" si="2"/>
        <v>0</v>
      </c>
      <c r="G101" s="22">
        <v>1850</v>
      </c>
      <c r="H101" s="19">
        <f t="shared" si="3"/>
        <v>0</v>
      </c>
      <c r="I101" s="16">
        <v>12</v>
      </c>
    </row>
    <row r="102" spans="1:9" x14ac:dyDescent="0.25">
      <c r="A102" t="s">
        <v>79</v>
      </c>
      <c r="B102" s="7">
        <v>5</v>
      </c>
      <c r="C102" s="10">
        <v>4</v>
      </c>
      <c r="D102" s="25">
        <v>0</v>
      </c>
      <c r="E102" s="28">
        <v>0</v>
      </c>
      <c r="F102" s="13">
        <f t="shared" si="2"/>
        <v>3</v>
      </c>
      <c r="G102" s="22">
        <v>950</v>
      </c>
      <c r="H102" s="19">
        <f t="shared" si="3"/>
        <v>2850</v>
      </c>
      <c r="I102" s="16">
        <v>6</v>
      </c>
    </row>
    <row r="103" spans="1:9" x14ac:dyDescent="0.25">
      <c r="A103" t="s">
        <v>39</v>
      </c>
      <c r="B103" s="7">
        <v>18</v>
      </c>
      <c r="C103" s="10">
        <v>0</v>
      </c>
      <c r="D103" s="25">
        <v>0</v>
      </c>
      <c r="E103" s="28">
        <v>0</v>
      </c>
      <c r="F103" s="13">
        <f t="shared" si="2"/>
        <v>0</v>
      </c>
      <c r="G103" s="22">
        <v>650</v>
      </c>
      <c r="H103" s="19">
        <f t="shared" si="3"/>
        <v>0</v>
      </c>
      <c r="I103" s="16">
        <v>18</v>
      </c>
    </row>
    <row r="104" spans="1:9" x14ac:dyDescent="0.25">
      <c r="A104" t="s">
        <v>16</v>
      </c>
      <c r="B104" s="7">
        <v>0</v>
      </c>
      <c r="C104" s="10">
        <v>0</v>
      </c>
      <c r="D104" s="25">
        <v>0</v>
      </c>
      <c r="E104" s="28">
        <v>0</v>
      </c>
      <c r="F104" s="13">
        <f t="shared" si="2"/>
        <v>0</v>
      </c>
      <c r="G104" s="22">
        <v>0</v>
      </c>
      <c r="H104" s="19">
        <f t="shared" si="3"/>
        <v>0</v>
      </c>
      <c r="I104" s="16">
        <v>0</v>
      </c>
    </row>
    <row r="105" spans="1:9" x14ac:dyDescent="0.25">
      <c r="A105" t="s">
        <v>28</v>
      </c>
      <c r="B105" s="7">
        <v>7</v>
      </c>
      <c r="C105" s="10">
        <v>0</v>
      </c>
      <c r="D105" s="25">
        <v>0</v>
      </c>
      <c r="E105" s="28">
        <v>0</v>
      </c>
      <c r="F105" s="13">
        <f t="shared" si="2"/>
        <v>1</v>
      </c>
      <c r="G105" s="22">
        <v>900</v>
      </c>
      <c r="H105" s="19">
        <f t="shared" si="3"/>
        <v>900</v>
      </c>
      <c r="I105" s="16">
        <v>6</v>
      </c>
    </row>
    <row r="107" spans="1:9" x14ac:dyDescent="0.25">
      <c r="A107" t="s">
        <v>83</v>
      </c>
      <c r="B107" s="3">
        <f>SUM(H3:H105)</f>
        <v>75284</v>
      </c>
    </row>
    <row r="108" spans="1:9" x14ac:dyDescent="0.25">
      <c r="B108" s="3"/>
    </row>
    <row r="110" spans="1:9" x14ac:dyDescent="0.25">
      <c r="A110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9147-BBF7-49A9-ACA0-1104F631A805}">
  <dimension ref="A2:S113"/>
  <sheetViews>
    <sheetView topLeftCell="A91" workbookViewId="0">
      <selection activeCell="B110" sqref="B110"/>
    </sheetView>
  </sheetViews>
  <sheetFormatPr baseColWidth="10" defaultRowHeight="15" x14ac:dyDescent="0.25"/>
  <cols>
    <col min="1" max="1" width="27.42578125" customWidth="1"/>
    <col min="2" max="2" width="13.42578125" customWidth="1"/>
  </cols>
  <sheetData>
    <row r="2" spans="1:9" x14ac:dyDescent="0.25">
      <c r="A2" s="1" t="s">
        <v>0</v>
      </c>
      <c r="B2" s="6" t="s">
        <v>84</v>
      </c>
      <c r="C2" s="9" t="s">
        <v>85</v>
      </c>
      <c r="D2" s="24" t="s">
        <v>86</v>
      </c>
      <c r="E2" s="27" t="s">
        <v>87</v>
      </c>
      <c r="F2" s="12" t="s">
        <v>88</v>
      </c>
      <c r="G2" s="21" t="s">
        <v>89</v>
      </c>
      <c r="H2" s="18" t="s">
        <v>90</v>
      </c>
      <c r="I2" s="15" t="s">
        <v>91</v>
      </c>
    </row>
    <row r="3" spans="1:9" x14ac:dyDescent="0.25">
      <c r="A3" t="s">
        <v>62</v>
      </c>
      <c r="B3" s="7">
        <v>4</v>
      </c>
      <c r="C3" s="10">
        <v>0</v>
      </c>
      <c r="D3" s="25">
        <v>0</v>
      </c>
      <c r="E3" s="28">
        <v>0</v>
      </c>
      <c r="F3" s="13">
        <f>B3+C3-I3</f>
        <v>1</v>
      </c>
      <c r="G3" s="22">
        <v>3200</v>
      </c>
      <c r="H3" s="19">
        <f t="shared" ref="H3:H76" si="0">F3*G3</f>
        <v>3200</v>
      </c>
      <c r="I3" s="17">
        <v>3</v>
      </c>
    </row>
    <row r="4" spans="1:9" x14ac:dyDescent="0.25">
      <c r="A4" t="s">
        <v>78</v>
      </c>
      <c r="B4" s="7">
        <v>12</v>
      </c>
      <c r="C4" s="10">
        <v>0</v>
      </c>
      <c r="D4" s="25">
        <v>0</v>
      </c>
      <c r="E4" s="28">
        <v>0</v>
      </c>
      <c r="F4" s="13">
        <f t="shared" ref="F4:F67" si="1">B4+C4-I4</f>
        <v>0</v>
      </c>
      <c r="G4" s="22">
        <v>2000</v>
      </c>
      <c r="H4" s="19">
        <f t="shared" si="0"/>
        <v>0</v>
      </c>
      <c r="I4" s="17">
        <v>12</v>
      </c>
    </row>
    <row r="5" spans="1:9" x14ac:dyDescent="0.25">
      <c r="A5" t="s">
        <v>14</v>
      </c>
      <c r="B5" s="7">
        <v>7</v>
      </c>
      <c r="C5" s="10">
        <v>0</v>
      </c>
      <c r="D5" s="25">
        <v>0</v>
      </c>
      <c r="E5" s="28">
        <v>0</v>
      </c>
      <c r="F5" s="13">
        <v>2</v>
      </c>
      <c r="G5" s="22">
        <v>500</v>
      </c>
      <c r="H5" s="19">
        <f t="shared" si="0"/>
        <v>1000</v>
      </c>
      <c r="I5" s="17">
        <v>5</v>
      </c>
    </row>
    <row r="6" spans="1:9" x14ac:dyDescent="0.25">
      <c r="A6" t="s">
        <v>13</v>
      </c>
      <c r="B6" s="7">
        <v>18</v>
      </c>
      <c r="C6" s="10">
        <v>0</v>
      </c>
      <c r="D6" s="25">
        <v>0</v>
      </c>
      <c r="E6" s="28">
        <v>0</v>
      </c>
      <c r="F6" s="13">
        <f t="shared" si="1"/>
        <v>0</v>
      </c>
      <c r="G6" s="22">
        <v>300</v>
      </c>
      <c r="H6" s="19">
        <f t="shared" si="0"/>
        <v>0</v>
      </c>
      <c r="I6" s="17">
        <v>18</v>
      </c>
    </row>
    <row r="7" spans="1:9" x14ac:dyDescent="0.25">
      <c r="A7" t="s">
        <v>17</v>
      </c>
      <c r="B7" s="7">
        <v>5</v>
      </c>
      <c r="C7" s="10">
        <v>0</v>
      </c>
      <c r="D7" s="25">
        <v>0</v>
      </c>
      <c r="E7" s="28">
        <v>0</v>
      </c>
      <c r="F7" s="13">
        <f t="shared" si="1"/>
        <v>0</v>
      </c>
      <c r="G7" s="22">
        <v>950</v>
      </c>
      <c r="H7" s="19">
        <f t="shared" si="0"/>
        <v>0</v>
      </c>
      <c r="I7" s="17">
        <v>5</v>
      </c>
    </row>
    <row r="8" spans="1:9" x14ac:dyDescent="0.25">
      <c r="A8" t="s">
        <v>30</v>
      </c>
      <c r="B8" s="7">
        <v>28</v>
      </c>
      <c r="C8" s="10">
        <v>0</v>
      </c>
      <c r="D8" s="25">
        <v>0</v>
      </c>
      <c r="E8" s="28">
        <v>0</v>
      </c>
      <c r="F8" s="13">
        <f t="shared" si="1"/>
        <v>0</v>
      </c>
      <c r="G8" s="22">
        <v>800</v>
      </c>
      <c r="H8" s="19">
        <f t="shared" si="0"/>
        <v>0</v>
      </c>
      <c r="I8" s="17">
        <v>28</v>
      </c>
    </row>
    <row r="9" spans="1:9" x14ac:dyDescent="0.25">
      <c r="A9" t="s">
        <v>73</v>
      </c>
      <c r="B9" s="7">
        <v>11</v>
      </c>
      <c r="C9" s="10">
        <v>0</v>
      </c>
      <c r="D9" s="25">
        <v>0</v>
      </c>
      <c r="E9" s="28">
        <v>0</v>
      </c>
      <c r="F9" s="13">
        <v>6</v>
      </c>
      <c r="G9" s="22">
        <v>1400</v>
      </c>
      <c r="H9" s="19">
        <f t="shared" si="0"/>
        <v>8400</v>
      </c>
      <c r="I9" s="17">
        <v>5</v>
      </c>
    </row>
    <row r="10" spans="1:9" x14ac:dyDescent="0.25">
      <c r="A10" t="s">
        <v>19</v>
      </c>
      <c r="B10" s="7">
        <v>0</v>
      </c>
      <c r="C10" s="10">
        <v>0</v>
      </c>
      <c r="D10" s="25">
        <v>0</v>
      </c>
      <c r="E10" s="28">
        <v>0</v>
      </c>
      <c r="F10" s="13">
        <f t="shared" si="1"/>
        <v>0</v>
      </c>
      <c r="G10" s="22">
        <v>1200</v>
      </c>
      <c r="H10" s="19">
        <f t="shared" si="0"/>
        <v>0</v>
      </c>
      <c r="I10" s="17">
        <v>0</v>
      </c>
    </row>
    <row r="11" spans="1:9" x14ac:dyDescent="0.25">
      <c r="A11" t="s">
        <v>22</v>
      </c>
      <c r="B11" s="7">
        <v>13</v>
      </c>
      <c r="C11" s="10">
        <v>0</v>
      </c>
      <c r="D11" s="25">
        <v>0</v>
      </c>
      <c r="E11" s="28">
        <v>0</v>
      </c>
      <c r="F11" s="13">
        <f t="shared" si="1"/>
        <v>2</v>
      </c>
      <c r="G11" s="22">
        <v>1800</v>
      </c>
      <c r="H11" s="19">
        <f t="shared" si="0"/>
        <v>3600</v>
      </c>
      <c r="I11" s="17">
        <v>11</v>
      </c>
    </row>
    <row r="12" spans="1:9" x14ac:dyDescent="0.25">
      <c r="A12" t="s">
        <v>103</v>
      </c>
      <c r="B12" s="7">
        <v>2</v>
      </c>
      <c r="C12" s="10">
        <v>0</v>
      </c>
      <c r="D12" s="25">
        <v>0</v>
      </c>
      <c r="E12" s="28">
        <v>0</v>
      </c>
      <c r="F12" s="13">
        <f t="shared" si="1"/>
        <v>1</v>
      </c>
      <c r="G12" s="22">
        <v>600</v>
      </c>
      <c r="H12" s="19">
        <f t="shared" si="0"/>
        <v>600</v>
      </c>
      <c r="I12" s="17">
        <v>1</v>
      </c>
    </row>
    <row r="13" spans="1:9" x14ac:dyDescent="0.25">
      <c r="A13" t="s">
        <v>117</v>
      </c>
      <c r="B13" s="7">
        <v>24</v>
      </c>
      <c r="C13" s="10">
        <v>0</v>
      </c>
      <c r="D13" s="25">
        <v>0</v>
      </c>
      <c r="E13" s="28">
        <v>0</v>
      </c>
      <c r="F13" s="13">
        <f t="shared" si="1"/>
        <v>0</v>
      </c>
      <c r="G13" s="22">
        <v>600</v>
      </c>
      <c r="H13" s="19">
        <f t="shared" si="0"/>
        <v>0</v>
      </c>
      <c r="I13" s="17">
        <v>24</v>
      </c>
    </row>
    <row r="14" spans="1:9" x14ac:dyDescent="0.25">
      <c r="A14" t="s">
        <v>126</v>
      </c>
      <c r="B14" s="7">
        <v>0</v>
      </c>
      <c r="C14" s="10">
        <v>24</v>
      </c>
      <c r="D14" s="25">
        <v>0</v>
      </c>
      <c r="E14" s="28">
        <v>0</v>
      </c>
      <c r="F14" s="13">
        <f t="shared" si="1"/>
        <v>0</v>
      </c>
      <c r="G14" s="22">
        <v>700</v>
      </c>
      <c r="H14" s="19">
        <f t="shared" si="0"/>
        <v>0</v>
      </c>
      <c r="I14" s="17">
        <v>24</v>
      </c>
    </row>
    <row r="15" spans="1:9" x14ac:dyDescent="0.25">
      <c r="A15" t="s">
        <v>116</v>
      </c>
      <c r="B15" s="7">
        <v>24</v>
      </c>
      <c r="C15" s="10">
        <v>0</v>
      </c>
      <c r="D15" s="25">
        <v>0</v>
      </c>
      <c r="E15" s="28">
        <v>0</v>
      </c>
      <c r="F15" s="13">
        <f t="shared" si="1"/>
        <v>2</v>
      </c>
      <c r="G15" s="22">
        <v>650</v>
      </c>
      <c r="H15" s="19">
        <f t="shared" si="0"/>
        <v>1300</v>
      </c>
      <c r="I15" s="17">
        <v>22</v>
      </c>
    </row>
    <row r="16" spans="1:9" x14ac:dyDescent="0.25">
      <c r="A16" t="s">
        <v>118</v>
      </c>
      <c r="B16" s="7">
        <v>24</v>
      </c>
      <c r="C16" s="10">
        <v>24</v>
      </c>
      <c r="D16" s="25">
        <v>0</v>
      </c>
      <c r="E16" s="28">
        <v>0</v>
      </c>
      <c r="F16" s="13">
        <f t="shared" si="1"/>
        <v>23</v>
      </c>
      <c r="G16" s="22">
        <v>600</v>
      </c>
      <c r="H16" s="19">
        <f t="shared" si="0"/>
        <v>13800</v>
      </c>
      <c r="I16" s="17">
        <v>25</v>
      </c>
    </row>
    <row r="17" spans="1:9" x14ac:dyDescent="0.25">
      <c r="A17" t="s">
        <v>10</v>
      </c>
      <c r="B17" s="7">
        <v>0</v>
      </c>
      <c r="C17" s="10">
        <v>0</v>
      </c>
      <c r="D17" s="25">
        <v>0</v>
      </c>
      <c r="E17" s="28">
        <v>0</v>
      </c>
      <c r="F17" s="13">
        <f t="shared" si="1"/>
        <v>0</v>
      </c>
      <c r="G17" s="22">
        <v>550</v>
      </c>
      <c r="H17" s="19">
        <f t="shared" si="0"/>
        <v>0</v>
      </c>
      <c r="I17" s="17">
        <v>0</v>
      </c>
    </row>
    <row r="18" spans="1:9" x14ac:dyDescent="0.25">
      <c r="A18" t="s">
        <v>12</v>
      </c>
      <c r="B18" s="7">
        <v>0</v>
      </c>
      <c r="C18" s="10">
        <v>0</v>
      </c>
      <c r="D18" s="25">
        <v>0</v>
      </c>
      <c r="E18" s="28">
        <v>0</v>
      </c>
      <c r="F18" s="13">
        <f t="shared" si="1"/>
        <v>0</v>
      </c>
      <c r="G18" s="22">
        <v>550</v>
      </c>
      <c r="H18" s="19">
        <f t="shared" si="0"/>
        <v>0</v>
      </c>
      <c r="I18" s="17">
        <v>0</v>
      </c>
    </row>
    <row r="19" spans="1:9" x14ac:dyDescent="0.25">
      <c r="A19" t="s">
        <v>11</v>
      </c>
      <c r="B19" s="7">
        <v>0</v>
      </c>
      <c r="C19" s="10">
        <v>0</v>
      </c>
      <c r="D19" s="25">
        <v>0</v>
      </c>
      <c r="E19" s="28">
        <v>0</v>
      </c>
      <c r="F19" s="13">
        <f t="shared" si="1"/>
        <v>0</v>
      </c>
      <c r="G19" s="22">
        <v>550</v>
      </c>
      <c r="H19" s="19">
        <f t="shared" si="0"/>
        <v>0</v>
      </c>
      <c r="I19" s="17">
        <v>0</v>
      </c>
    </row>
    <row r="20" spans="1:9" x14ac:dyDescent="0.25">
      <c r="A20" t="s">
        <v>29</v>
      </c>
      <c r="B20" s="7">
        <v>3</v>
      </c>
      <c r="C20" s="10">
        <v>0</v>
      </c>
      <c r="D20" s="25">
        <v>0</v>
      </c>
      <c r="E20" s="28">
        <v>0</v>
      </c>
      <c r="F20" s="13">
        <f t="shared" si="1"/>
        <v>0</v>
      </c>
      <c r="G20" s="22">
        <v>1000</v>
      </c>
      <c r="H20" s="19">
        <f t="shared" si="0"/>
        <v>0</v>
      </c>
      <c r="I20" s="17">
        <v>3</v>
      </c>
    </row>
    <row r="21" spans="1:9" x14ac:dyDescent="0.25">
      <c r="A21" t="s">
        <v>69</v>
      </c>
      <c r="B21" s="7">
        <v>2</v>
      </c>
      <c r="C21" s="10">
        <v>0</v>
      </c>
      <c r="D21" s="25">
        <v>0</v>
      </c>
      <c r="E21" s="28">
        <v>0</v>
      </c>
      <c r="F21" s="13">
        <f t="shared" si="1"/>
        <v>1</v>
      </c>
      <c r="G21" s="22">
        <v>80</v>
      </c>
      <c r="H21" s="19">
        <f t="shared" si="0"/>
        <v>80</v>
      </c>
      <c r="I21" s="17">
        <v>1</v>
      </c>
    </row>
    <row r="22" spans="1:9" x14ac:dyDescent="0.25">
      <c r="A22" t="s">
        <v>67</v>
      </c>
      <c r="B22" s="7">
        <v>0</v>
      </c>
      <c r="C22" s="10">
        <v>0</v>
      </c>
      <c r="D22" s="25">
        <v>0</v>
      </c>
      <c r="E22" s="28">
        <v>0</v>
      </c>
      <c r="F22" s="13">
        <f t="shared" si="1"/>
        <v>0</v>
      </c>
      <c r="G22" s="22">
        <v>950</v>
      </c>
      <c r="H22" s="19">
        <f t="shared" si="0"/>
        <v>0</v>
      </c>
      <c r="I22" s="17">
        <v>0</v>
      </c>
    </row>
    <row r="23" spans="1:9" x14ac:dyDescent="0.25">
      <c r="A23" t="s">
        <v>125</v>
      </c>
      <c r="B23" s="7">
        <v>11</v>
      </c>
      <c r="C23" s="10">
        <v>100</v>
      </c>
      <c r="D23" s="25">
        <v>0</v>
      </c>
      <c r="E23" s="28">
        <v>0</v>
      </c>
      <c r="F23" s="13">
        <f t="shared" si="1"/>
        <v>0</v>
      </c>
      <c r="G23" s="22">
        <v>750</v>
      </c>
      <c r="H23" s="19">
        <f>F23*G23</f>
        <v>0</v>
      </c>
      <c r="I23" s="17">
        <v>111</v>
      </c>
    </row>
    <row r="24" spans="1:9" x14ac:dyDescent="0.25">
      <c r="A24" t="s">
        <v>66</v>
      </c>
      <c r="B24" s="7">
        <v>0</v>
      </c>
      <c r="C24" s="10">
        <v>0</v>
      </c>
      <c r="D24" s="25">
        <v>0</v>
      </c>
      <c r="E24" s="28">
        <v>0</v>
      </c>
      <c r="F24" s="13">
        <f t="shared" si="1"/>
        <v>0</v>
      </c>
      <c r="G24" s="22">
        <v>1000</v>
      </c>
      <c r="H24" s="19">
        <f t="shared" si="0"/>
        <v>0</v>
      </c>
      <c r="I24" s="17">
        <v>0</v>
      </c>
    </row>
    <row r="25" spans="1:9" x14ac:dyDescent="0.25">
      <c r="A25" t="s">
        <v>65</v>
      </c>
      <c r="B25" s="7">
        <v>9</v>
      </c>
      <c r="C25" s="10">
        <v>0</v>
      </c>
      <c r="D25" s="25">
        <v>0</v>
      </c>
      <c r="E25" s="28">
        <v>0</v>
      </c>
      <c r="F25" s="13">
        <f t="shared" si="1"/>
        <v>2</v>
      </c>
      <c r="G25" s="22">
        <v>750</v>
      </c>
      <c r="H25" s="19">
        <f t="shared" si="0"/>
        <v>1500</v>
      </c>
      <c r="I25" s="17">
        <v>7</v>
      </c>
    </row>
    <row r="26" spans="1:9" x14ac:dyDescent="0.25">
      <c r="A26" t="s">
        <v>123</v>
      </c>
      <c r="B26" s="7">
        <v>7</v>
      </c>
      <c r="C26" s="10">
        <v>3</v>
      </c>
      <c r="D26" s="25">
        <v>0</v>
      </c>
      <c r="E26" s="28">
        <v>0</v>
      </c>
      <c r="F26" s="13">
        <f t="shared" si="1"/>
        <v>2</v>
      </c>
      <c r="G26" s="22">
        <v>680</v>
      </c>
      <c r="H26" s="19">
        <f t="shared" si="0"/>
        <v>1360</v>
      </c>
      <c r="I26" s="17">
        <v>8</v>
      </c>
    </row>
    <row r="27" spans="1:9" x14ac:dyDescent="0.25">
      <c r="A27" t="s">
        <v>75</v>
      </c>
      <c r="B27" s="7">
        <v>111</v>
      </c>
      <c r="C27" s="10">
        <v>0</v>
      </c>
      <c r="D27" s="25">
        <v>0</v>
      </c>
      <c r="E27" s="28">
        <v>0</v>
      </c>
      <c r="F27" s="13">
        <f t="shared" si="1"/>
        <v>1</v>
      </c>
      <c r="G27" s="22">
        <v>70</v>
      </c>
      <c r="H27" s="19">
        <f t="shared" si="0"/>
        <v>70</v>
      </c>
      <c r="I27" s="17">
        <v>110</v>
      </c>
    </row>
    <row r="28" spans="1:9" x14ac:dyDescent="0.25">
      <c r="A28" t="s">
        <v>130</v>
      </c>
      <c r="B28" s="7">
        <v>0</v>
      </c>
      <c r="C28" s="10">
        <v>24</v>
      </c>
      <c r="D28" s="25">
        <v>0</v>
      </c>
      <c r="E28" s="28">
        <v>0</v>
      </c>
      <c r="F28" s="13">
        <f t="shared" si="1"/>
        <v>1</v>
      </c>
      <c r="G28" s="22">
        <v>1000</v>
      </c>
      <c r="H28" s="19">
        <f t="shared" si="0"/>
        <v>1000</v>
      </c>
      <c r="I28" s="17">
        <v>23</v>
      </c>
    </row>
    <row r="29" spans="1:9" x14ac:dyDescent="0.25">
      <c r="A29" t="s">
        <v>71</v>
      </c>
      <c r="B29" s="7">
        <v>10</v>
      </c>
      <c r="C29" s="10">
        <v>0</v>
      </c>
      <c r="D29" s="25">
        <v>0</v>
      </c>
      <c r="E29" s="28">
        <v>0</v>
      </c>
      <c r="F29" s="13">
        <f t="shared" si="1"/>
        <v>0</v>
      </c>
      <c r="G29" s="22">
        <v>1100</v>
      </c>
      <c r="H29" s="19">
        <f t="shared" si="0"/>
        <v>0</v>
      </c>
      <c r="I29" s="17">
        <v>10</v>
      </c>
    </row>
    <row r="30" spans="1:9" x14ac:dyDescent="0.25">
      <c r="A30" t="s">
        <v>25</v>
      </c>
      <c r="B30" s="7">
        <v>6</v>
      </c>
      <c r="C30" s="10">
        <v>0</v>
      </c>
      <c r="D30" s="25">
        <v>0</v>
      </c>
      <c r="E30" s="28">
        <v>0</v>
      </c>
      <c r="F30" s="13">
        <f t="shared" si="1"/>
        <v>1</v>
      </c>
      <c r="G30" s="22">
        <v>800</v>
      </c>
      <c r="H30" s="19">
        <f t="shared" si="0"/>
        <v>800</v>
      </c>
      <c r="I30" s="17">
        <v>5</v>
      </c>
    </row>
    <row r="31" spans="1:9" x14ac:dyDescent="0.25">
      <c r="A31" t="s">
        <v>9</v>
      </c>
      <c r="B31" s="7">
        <v>22</v>
      </c>
      <c r="C31" s="10">
        <v>0</v>
      </c>
      <c r="D31" s="25">
        <v>0</v>
      </c>
      <c r="E31" s="28">
        <v>0</v>
      </c>
      <c r="F31" s="13">
        <v>3</v>
      </c>
      <c r="G31" s="22">
        <v>550</v>
      </c>
      <c r="H31" s="19">
        <f t="shared" si="0"/>
        <v>1650</v>
      </c>
      <c r="I31" s="17">
        <v>19</v>
      </c>
    </row>
    <row r="32" spans="1:9" x14ac:dyDescent="0.25">
      <c r="A32" t="s">
        <v>115</v>
      </c>
      <c r="B32" s="7">
        <v>18</v>
      </c>
      <c r="C32" s="10">
        <v>0</v>
      </c>
      <c r="D32" s="25">
        <v>0</v>
      </c>
      <c r="E32" s="28">
        <v>0</v>
      </c>
      <c r="F32" s="13">
        <f t="shared" si="1"/>
        <v>2</v>
      </c>
      <c r="G32" s="22">
        <v>720</v>
      </c>
      <c r="H32" s="19">
        <f t="shared" si="0"/>
        <v>1440</v>
      </c>
      <c r="I32" s="17">
        <v>16</v>
      </c>
    </row>
    <row r="33" spans="1:9" x14ac:dyDescent="0.25">
      <c r="A33" t="s">
        <v>131</v>
      </c>
      <c r="B33" s="7">
        <v>9</v>
      </c>
      <c r="C33" s="10">
        <v>0</v>
      </c>
      <c r="D33" s="25">
        <v>0</v>
      </c>
      <c r="E33" s="28">
        <v>0</v>
      </c>
      <c r="F33" s="13">
        <f t="shared" si="1"/>
        <v>0</v>
      </c>
      <c r="G33" s="22">
        <v>1150</v>
      </c>
      <c r="H33" s="19">
        <f t="shared" si="0"/>
        <v>0</v>
      </c>
      <c r="I33" s="17">
        <v>9</v>
      </c>
    </row>
    <row r="34" spans="1:9" x14ac:dyDescent="0.25">
      <c r="A34" t="s">
        <v>60</v>
      </c>
      <c r="B34" s="7">
        <v>0</v>
      </c>
      <c r="C34" s="10">
        <v>0</v>
      </c>
      <c r="D34" s="25">
        <v>0</v>
      </c>
      <c r="E34" s="28">
        <v>0</v>
      </c>
      <c r="F34" s="13">
        <f t="shared" si="1"/>
        <v>0</v>
      </c>
      <c r="G34" s="22">
        <v>0</v>
      </c>
      <c r="H34" s="19">
        <f t="shared" si="0"/>
        <v>0</v>
      </c>
      <c r="I34" s="17">
        <v>0</v>
      </c>
    </row>
    <row r="35" spans="1:9" x14ac:dyDescent="0.25">
      <c r="A35" t="s">
        <v>41</v>
      </c>
      <c r="B35" s="7">
        <v>101</v>
      </c>
      <c r="C35" s="10">
        <v>0</v>
      </c>
      <c r="D35" s="25">
        <v>0</v>
      </c>
      <c r="E35" s="28">
        <v>0</v>
      </c>
      <c r="F35" s="13">
        <f t="shared" si="1"/>
        <v>0</v>
      </c>
      <c r="G35" s="22">
        <v>120</v>
      </c>
      <c r="H35" s="19">
        <f t="shared" si="0"/>
        <v>0</v>
      </c>
      <c r="I35" s="17">
        <v>101</v>
      </c>
    </row>
    <row r="36" spans="1:9" x14ac:dyDescent="0.25">
      <c r="A36" t="s">
        <v>42</v>
      </c>
      <c r="B36" s="7">
        <v>0</v>
      </c>
      <c r="C36" s="10">
        <v>0</v>
      </c>
      <c r="D36" s="25">
        <v>0</v>
      </c>
      <c r="E36" s="28">
        <v>0</v>
      </c>
      <c r="F36" s="13">
        <f t="shared" si="1"/>
        <v>0</v>
      </c>
      <c r="G36" s="22">
        <v>1400</v>
      </c>
      <c r="H36" s="19">
        <f t="shared" si="0"/>
        <v>0</v>
      </c>
      <c r="I36" s="17">
        <v>0</v>
      </c>
    </row>
    <row r="37" spans="1:9" x14ac:dyDescent="0.25">
      <c r="A37" t="s">
        <v>82</v>
      </c>
      <c r="B37" s="7">
        <v>0</v>
      </c>
      <c r="C37" s="10">
        <v>0</v>
      </c>
      <c r="D37" s="25">
        <v>0</v>
      </c>
      <c r="E37" s="28">
        <v>0</v>
      </c>
      <c r="F37" s="13">
        <f t="shared" si="1"/>
        <v>0</v>
      </c>
      <c r="G37" s="22">
        <v>380</v>
      </c>
      <c r="H37" s="19">
        <f t="shared" si="0"/>
        <v>0</v>
      </c>
      <c r="I37" s="17">
        <v>0</v>
      </c>
    </row>
    <row r="38" spans="1:9" x14ac:dyDescent="0.25">
      <c r="A38" t="s">
        <v>32</v>
      </c>
      <c r="B38" s="7">
        <v>14</v>
      </c>
      <c r="C38" s="10">
        <v>0</v>
      </c>
      <c r="D38" s="25">
        <v>0</v>
      </c>
      <c r="E38" s="28">
        <v>0</v>
      </c>
      <c r="F38" s="13">
        <f t="shared" si="1"/>
        <v>1</v>
      </c>
      <c r="G38" s="22">
        <v>250</v>
      </c>
      <c r="H38" s="19">
        <f t="shared" si="0"/>
        <v>250</v>
      </c>
      <c r="I38" s="17">
        <v>13</v>
      </c>
    </row>
    <row r="39" spans="1:9" x14ac:dyDescent="0.25">
      <c r="A39" t="s">
        <v>36</v>
      </c>
      <c r="B39" s="7">
        <v>15</v>
      </c>
      <c r="C39" s="10">
        <v>0</v>
      </c>
      <c r="D39" s="25">
        <v>0</v>
      </c>
      <c r="E39" s="28">
        <v>0</v>
      </c>
      <c r="F39" s="13">
        <f t="shared" si="1"/>
        <v>0</v>
      </c>
      <c r="G39" s="22">
        <v>350</v>
      </c>
      <c r="H39" s="19">
        <f t="shared" si="0"/>
        <v>0</v>
      </c>
      <c r="I39" s="17">
        <v>15</v>
      </c>
    </row>
    <row r="40" spans="1:9" x14ac:dyDescent="0.25">
      <c r="A40" t="s">
        <v>114</v>
      </c>
      <c r="B40" s="7">
        <v>32</v>
      </c>
      <c r="C40" s="10">
        <v>0</v>
      </c>
      <c r="D40" s="25">
        <v>0</v>
      </c>
      <c r="E40" s="28">
        <v>0</v>
      </c>
      <c r="F40" s="13">
        <f t="shared" si="1"/>
        <v>0</v>
      </c>
      <c r="G40" s="22">
        <v>500</v>
      </c>
      <c r="H40" s="19">
        <f t="shared" si="0"/>
        <v>0</v>
      </c>
      <c r="I40" s="17">
        <v>32</v>
      </c>
    </row>
    <row r="41" spans="1:9" x14ac:dyDescent="0.25">
      <c r="A41" t="s">
        <v>48</v>
      </c>
      <c r="B41" s="7">
        <v>7</v>
      </c>
      <c r="C41" s="10">
        <v>0</v>
      </c>
      <c r="D41" s="25">
        <v>0</v>
      </c>
      <c r="E41" s="28">
        <v>0</v>
      </c>
      <c r="F41" s="13">
        <f t="shared" si="1"/>
        <v>0</v>
      </c>
      <c r="G41" s="22">
        <v>450</v>
      </c>
      <c r="H41" s="19">
        <f t="shared" si="0"/>
        <v>0</v>
      </c>
      <c r="I41" s="17">
        <v>7</v>
      </c>
    </row>
    <row r="42" spans="1:9" x14ac:dyDescent="0.25">
      <c r="A42" t="s">
        <v>121</v>
      </c>
      <c r="B42" s="7">
        <v>9</v>
      </c>
      <c r="C42" s="10">
        <v>0</v>
      </c>
      <c r="D42" s="25">
        <v>0</v>
      </c>
      <c r="E42" s="28">
        <v>0</v>
      </c>
      <c r="F42" s="13">
        <f t="shared" si="1"/>
        <v>4</v>
      </c>
      <c r="G42" s="22">
        <v>2200</v>
      </c>
      <c r="H42" s="19">
        <f t="shared" si="0"/>
        <v>8800</v>
      </c>
      <c r="I42" s="17">
        <v>5</v>
      </c>
    </row>
    <row r="43" spans="1:9" x14ac:dyDescent="0.25">
      <c r="A43" t="s">
        <v>122</v>
      </c>
      <c r="B43" s="7">
        <v>49</v>
      </c>
      <c r="C43" s="10">
        <v>0</v>
      </c>
      <c r="D43" s="25">
        <v>0</v>
      </c>
      <c r="E43" s="28">
        <v>0</v>
      </c>
      <c r="F43" s="13">
        <f t="shared" si="1"/>
        <v>0</v>
      </c>
      <c r="G43" s="22">
        <v>320</v>
      </c>
      <c r="H43" s="19">
        <f t="shared" si="0"/>
        <v>0</v>
      </c>
      <c r="I43" s="17">
        <v>49</v>
      </c>
    </row>
    <row r="44" spans="1:9" x14ac:dyDescent="0.25">
      <c r="A44" t="s">
        <v>40</v>
      </c>
      <c r="B44" s="7">
        <v>9</v>
      </c>
      <c r="C44" s="10">
        <v>0</v>
      </c>
      <c r="D44" s="25">
        <v>0</v>
      </c>
      <c r="E44" s="28">
        <v>0</v>
      </c>
      <c r="F44" s="13">
        <f t="shared" si="1"/>
        <v>0</v>
      </c>
      <c r="G44" s="22">
        <v>1100</v>
      </c>
      <c r="H44" s="19">
        <f t="shared" si="0"/>
        <v>0</v>
      </c>
      <c r="I44" s="17">
        <v>9</v>
      </c>
    </row>
    <row r="45" spans="1:9" x14ac:dyDescent="0.25">
      <c r="A45" t="s">
        <v>81</v>
      </c>
      <c r="B45" s="7">
        <v>20</v>
      </c>
      <c r="C45" s="10">
        <v>0</v>
      </c>
      <c r="D45" s="25">
        <v>0</v>
      </c>
      <c r="E45" s="28">
        <v>0</v>
      </c>
      <c r="F45" s="13">
        <f t="shared" si="1"/>
        <v>0</v>
      </c>
      <c r="G45" s="22">
        <v>460</v>
      </c>
      <c r="H45" s="19">
        <f t="shared" si="0"/>
        <v>0</v>
      </c>
      <c r="I45" s="17">
        <v>20</v>
      </c>
    </row>
    <row r="46" spans="1:9" x14ac:dyDescent="0.25">
      <c r="A46" t="s">
        <v>99</v>
      </c>
      <c r="B46" s="7">
        <v>133</v>
      </c>
      <c r="C46" s="10">
        <v>0</v>
      </c>
      <c r="D46" s="25">
        <v>0</v>
      </c>
      <c r="E46" s="28">
        <v>0</v>
      </c>
      <c r="F46" s="13">
        <f t="shared" si="1"/>
        <v>7</v>
      </c>
      <c r="G46" s="23">
        <v>220</v>
      </c>
      <c r="H46" s="19">
        <f t="shared" si="0"/>
        <v>1540</v>
      </c>
      <c r="I46" s="17">
        <v>126</v>
      </c>
    </row>
    <row r="47" spans="1:9" x14ac:dyDescent="0.25">
      <c r="A47" t="s">
        <v>70</v>
      </c>
      <c r="B47" s="7">
        <v>12</v>
      </c>
      <c r="C47" s="10">
        <v>0</v>
      </c>
      <c r="D47" s="25">
        <v>0</v>
      </c>
      <c r="E47" s="28">
        <v>0</v>
      </c>
      <c r="F47" s="13">
        <f t="shared" si="1"/>
        <v>0</v>
      </c>
      <c r="G47" s="22">
        <v>1300</v>
      </c>
      <c r="H47" s="19">
        <f t="shared" si="0"/>
        <v>0</v>
      </c>
      <c r="I47" s="17">
        <v>12</v>
      </c>
    </row>
    <row r="48" spans="1:9" x14ac:dyDescent="0.25">
      <c r="A48" t="s">
        <v>76</v>
      </c>
      <c r="B48" s="7">
        <v>13</v>
      </c>
      <c r="C48" s="10">
        <v>0</v>
      </c>
      <c r="D48" s="25">
        <v>0</v>
      </c>
      <c r="E48" s="28">
        <v>0</v>
      </c>
      <c r="F48" s="13">
        <v>1</v>
      </c>
      <c r="G48" s="22">
        <v>800</v>
      </c>
      <c r="H48" s="19">
        <f t="shared" si="0"/>
        <v>800</v>
      </c>
      <c r="I48" s="17">
        <v>12</v>
      </c>
    </row>
    <row r="49" spans="1:9" x14ac:dyDescent="0.25">
      <c r="A49" t="s">
        <v>33</v>
      </c>
      <c r="B49" s="7">
        <v>38</v>
      </c>
      <c r="C49" s="10">
        <v>0</v>
      </c>
      <c r="D49" s="25">
        <v>0</v>
      </c>
      <c r="E49" s="28">
        <v>0</v>
      </c>
      <c r="F49" s="13">
        <f t="shared" si="1"/>
        <v>6</v>
      </c>
      <c r="G49" s="22">
        <v>10</v>
      </c>
      <c r="H49" s="19">
        <f t="shared" si="0"/>
        <v>60</v>
      </c>
      <c r="I49" s="17">
        <v>32</v>
      </c>
    </row>
    <row r="50" spans="1:9" x14ac:dyDescent="0.25">
      <c r="A50" t="s">
        <v>61</v>
      </c>
      <c r="B50" s="7">
        <v>0</v>
      </c>
      <c r="C50" s="10">
        <v>0</v>
      </c>
      <c r="D50" s="25">
        <v>0</v>
      </c>
      <c r="E50" s="28">
        <v>0</v>
      </c>
      <c r="F50" s="13">
        <f t="shared" si="1"/>
        <v>0</v>
      </c>
      <c r="G50" s="23">
        <v>400</v>
      </c>
      <c r="H50" s="19">
        <f t="shared" si="0"/>
        <v>0</v>
      </c>
      <c r="I50" s="17">
        <v>0</v>
      </c>
    </row>
    <row r="51" spans="1:9" x14ac:dyDescent="0.25">
      <c r="A51" t="s">
        <v>98</v>
      </c>
      <c r="B51" s="7">
        <v>2.2000000000000002</v>
      </c>
      <c r="C51" s="10">
        <v>0</v>
      </c>
      <c r="D51" s="25">
        <v>0</v>
      </c>
      <c r="E51" s="28">
        <v>0</v>
      </c>
      <c r="F51" s="13">
        <f t="shared" si="1"/>
        <v>0</v>
      </c>
      <c r="G51" s="23">
        <v>800</v>
      </c>
      <c r="H51" s="19">
        <f>F51*G51</f>
        <v>0</v>
      </c>
      <c r="I51" s="17">
        <v>2.2000000000000002</v>
      </c>
    </row>
    <row r="52" spans="1:9" x14ac:dyDescent="0.25">
      <c r="A52" t="s">
        <v>6</v>
      </c>
      <c r="B52" s="7">
        <v>0</v>
      </c>
      <c r="C52" s="10">
        <v>0</v>
      </c>
      <c r="D52" s="25">
        <v>0</v>
      </c>
      <c r="E52" s="28">
        <v>0</v>
      </c>
      <c r="F52" s="13">
        <f t="shared" si="1"/>
        <v>0</v>
      </c>
      <c r="G52" s="22">
        <v>550</v>
      </c>
      <c r="H52" s="19">
        <f t="shared" si="0"/>
        <v>0</v>
      </c>
      <c r="I52" s="17">
        <v>0</v>
      </c>
    </row>
    <row r="53" spans="1:9" x14ac:dyDescent="0.25">
      <c r="A53" t="s">
        <v>8</v>
      </c>
      <c r="B53" s="7">
        <v>12</v>
      </c>
      <c r="C53" s="10">
        <v>0</v>
      </c>
      <c r="D53" s="25">
        <v>0</v>
      </c>
      <c r="E53" s="28">
        <v>0</v>
      </c>
      <c r="F53" s="13">
        <f t="shared" si="1"/>
        <v>0</v>
      </c>
      <c r="G53" s="22">
        <v>550</v>
      </c>
      <c r="H53" s="19">
        <f t="shared" si="0"/>
        <v>0</v>
      </c>
      <c r="I53" s="17">
        <v>12</v>
      </c>
    </row>
    <row r="54" spans="1:9" x14ac:dyDescent="0.25">
      <c r="A54" t="s">
        <v>108</v>
      </c>
      <c r="B54" s="7">
        <v>0</v>
      </c>
      <c r="C54" s="10">
        <v>0</v>
      </c>
      <c r="D54" s="25">
        <v>0</v>
      </c>
      <c r="E54" s="28">
        <v>0</v>
      </c>
      <c r="F54" s="13">
        <f t="shared" si="1"/>
        <v>0</v>
      </c>
      <c r="G54" s="22">
        <v>550</v>
      </c>
      <c r="H54" s="19">
        <f t="shared" si="0"/>
        <v>0</v>
      </c>
      <c r="I54" s="17">
        <v>0</v>
      </c>
    </row>
    <row r="55" spans="1:9" x14ac:dyDescent="0.25">
      <c r="A55" t="s">
        <v>109</v>
      </c>
      <c r="B55" s="7">
        <v>1</v>
      </c>
      <c r="C55" s="10">
        <v>0</v>
      </c>
      <c r="D55" s="25">
        <v>0</v>
      </c>
      <c r="E55" s="28">
        <v>0</v>
      </c>
      <c r="F55" s="13">
        <f t="shared" si="1"/>
        <v>1</v>
      </c>
      <c r="G55" s="22">
        <v>1400</v>
      </c>
      <c r="H55" s="19">
        <f t="shared" si="0"/>
        <v>1400</v>
      </c>
      <c r="I55" s="17">
        <v>0</v>
      </c>
    </row>
    <row r="56" spans="1:9" x14ac:dyDescent="0.25">
      <c r="A56" t="s">
        <v>95</v>
      </c>
      <c r="B56" s="7">
        <v>0</v>
      </c>
      <c r="C56" s="10">
        <v>0</v>
      </c>
      <c r="D56" s="25">
        <v>0</v>
      </c>
      <c r="E56" s="28">
        <v>0</v>
      </c>
      <c r="F56" s="13">
        <f t="shared" si="1"/>
        <v>0</v>
      </c>
      <c r="G56" s="22">
        <v>1400</v>
      </c>
      <c r="H56" s="19">
        <f t="shared" si="0"/>
        <v>0</v>
      </c>
      <c r="I56" s="17">
        <v>0</v>
      </c>
    </row>
    <row r="57" spans="1:9" x14ac:dyDescent="0.25">
      <c r="A57" t="s">
        <v>106</v>
      </c>
      <c r="B57" s="7">
        <v>45</v>
      </c>
      <c r="C57" s="10">
        <v>0</v>
      </c>
      <c r="D57" s="25">
        <v>0</v>
      </c>
      <c r="E57" s="28">
        <v>0</v>
      </c>
      <c r="F57" s="13">
        <f t="shared" si="1"/>
        <v>3</v>
      </c>
      <c r="G57" s="22">
        <v>600</v>
      </c>
      <c r="H57" s="19">
        <f t="shared" si="0"/>
        <v>1800</v>
      </c>
      <c r="I57" s="17">
        <v>42</v>
      </c>
    </row>
    <row r="58" spans="1:9" x14ac:dyDescent="0.25">
      <c r="A58" t="s">
        <v>23</v>
      </c>
      <c r="B58" s="7">
        <v>8</v>
      </c>
      <c r="C58" s="10">
        <v>0</v>
      </c>
      <c r="D58" s="25">
        <v>0</v>
      </c>
      <c r="E58" s="28">
        <v>0</v>
      </c>
      <c r="F58" s="13">
        <f t="shared" si="1"/>
        <v>0</v>
      </c>
      <c r="G58" s="22">
        <v>1500</v>
      </c>
      <c r="H58" s="19">
        <f t="shared" si="0"/>
        <v>0</v>
      </c>
      <c r="I58" s="17">
        <v>8</v>
      </c>
    </row>
    <row r="59" spans="1:9" x14ac:dyDescent="0.25">
      <c r="A59" t="s">
        <v>26</v>
      </c>
      <c r="B59" s="7">
        <v>8</v>
      </c>
      <c r="C59" s="10">
        <v>0</v>
      </c>
      <c r="D59" s="25">
        <v>0</v>
      </c>
      <c r="E59" s="28">
        <v>0</v>
      </c>
      <c r="F59" s="13">
        <v>1</v>
      </c>
      <c r="G59" s="22">
        <v>1000</v>
      </c>
      <c r="H59" s="19">
        <f t="shared" si="0"/>
        <v>1000</v>
      </c>
      <c r="I59" s="17">
        <v>7</v>
      </c>
    </row>
    <row r="60" spans="1:9" x14ac:dyDescent="0.25">
      <c r="A60" t="s">
        <v>72</v>
      </c>
      <c r="B60" s="7">
        <v>8</v>
      </c>
      <c r="C60" s="10">
        <v>0</v>
      </c>
      <c r="D60" s="25">
        <v>0</v>
      </c>
      <c r="E60" s="28">
        <v>0</v>
      </c>
      <c r="F60" s="13">
        <f t="shared" si="1"/>
        <v>1</v>
      </c>
      <c r="G60" s="22">
        <v>1050</v>
      </c>
      <c r="H60" s="19">
        <f t="shared" si="0"/>
        <v>1050</v>
      </c>
      <c r="I60" s="17">
        <v>7</v>
      </c>
    </row>
    <row r="61" spans="1:9" x14ac:dyDescent="0.25">
      <c r="A61" t="s">
        <v>110</v>
      </c>
      <c r="B61" s="7">
        <v>0</v>
      </c>
      <c r="C61" s="10">
        <v>0</v>
      </c>
      <c r="D61" s="25">
        <v>0</v>
      </c>
      <c r="E61" s="28">
        <v>0</v>
      </c>
      <c r="F61" s="13">
        <f t="shared" si="1"/>
        <v>0</v>
      </c>
      <c r="G61" s="22">
        <v>1600</v>
      </c>
      <c r="H61" s="19">
        <f t="shared" si="0"/>
        <v>0</v>
      </c>
      <c r="I61" s="17">
        <v>0</v>
      </c>
    </row>
    <row r="62" spans="1:9" x14ac:dyDescent="0.25">
      <c r="A62" t="s">
        <v>3</v>
      </c>
      <c r="B62" s="7">
        <v>24</v>
      </c>
      <c r="C62" s="10">
        <v>0</v>
      </c>
      <c r="D62" s="25">
        <v>0</v>
      </c>
      <c r="E62" s="28">
        <v>0</v>
      </c>
      <c r="F62" s="13">
        <f t="shared" si="1"/>
        <v>2</v>
      </c>
      <c r="G62" s="22">
        <v>550</v>
      </c>
      <c r="H62" s="19">
        <f t="shared" si="0"/>
        <v>1100</v>
      </c>
      <c r="I62" s="17">
        <v>22</v>
      </c>
    </row>
    <row r="63" spans="1:9" x14ac:dyDescent="0.25">
      <c r="A63" t="s">
        <v>68</v>
      </c>
      <c r="B63" s="7">
        <v>56</v>
      </c>
      <c r="C63" s="10">
        <v>0</v>
      </c>
      <c r="D63" s="25">
        <v>0</v>
      </c>
      <c r="E63" s="28">
        <v>0</v>
      </c>
      <c r="F63" s="13">
        <v>3</v>
      </c>
      <c r="G63" s="22">
        <v>80</v>
      </c>
      <c r="H63" s="19">
        <f t="shared" si="0"/>
        <v>240</v>
      </c>
      <c r="I63" s="17">
        <v>53</v>
      </c>
    </row>
    <row r="64" spans="1:9" x14ac:dyDescent="0.25">
      <c r="A64" t="s">
        <v>101</v>
      </c>
      <c r="B64" s="7">
        <v>21</v>
      </c>
      <c r="C64" s="10">
        <v>0</v>
      </c>
      <c r="D64" s="25">
        <v>0</v>
      </c>
      <c r="E64" s="28">
        <v>0</v>
      </c>
      <c r="F64" s="13">
        <f t="shared" si="1"/>
        <v>2</v>
      </c>
      <c r="G64" s="22">
        <v>850</v>
      </c>
      <c r="H64" s="19">
        <f t="shared" si="0"/>
        <v>1700</v>
      </c>
      <c r="I64" s="17">
        <v>19</v>
      </c>
    </row>
    <row r="65" spans="1:19" x14ac:dyDescent="0.25">
      <c r="A65" t="s">
        <v>102</v>
      </c>
      <c r="B65" s="7">
        <v>11</v>
      </c>
      <c r="C65" s="10">
        <v>0</v>
      </c>
      <c r="D65" s="25">
        <v>0</v>
      </c>
      <c r="E65" s="28">
        <v>0</v>
      </c>
      <c r="F65" s="13">
        <f t="shared" si="1"/>
        <v>0</v>
      </c>
      <c r="G65" s="22">
        <v>1200</v>
      </c>
      <c r="H65" s="19">
        <f t="shared" si="0"/>
        <v>0</v>
      </c>
      <c r="I65" s="17">
        <v>11</v>
      </c>
    </row>
    <row r="66" spans="1:19" x14ac:dyDescent="0.25">
      <c r="A66" t="s">
        <v>20</v>
      </c>
      <c r="B66" s="7">
        <v>8</v>
      </c>
      <c r="C66" s="10">
        <v>0</v>
      </c>
      <c r="D66" s="25">
        <v>0</v>
      </c>
      <c r="E66" s="28">
        <v>0</v>
      </c>
      <c r="F66" s="13">
        <f t="shared" si="1"/>
        <v>1</v>
      </c>
      <c r="G66" s="22">
        <v>1250</v>
      </c>
      <c r="H66" s="19">
        <f t="shared" si="0"/>
        <v>1250</v>
      </c>
      <c r="I66" s="17">
        <v>7</v>
      </c>
    </row>
    <row r="67" spans="1:19" x14ac:dyDescent="0.25">
      <c r="A67" t="s">
        <v>120</v>
      </c>
      <c r="B67" s="7">
        <v>12</v>
      </c>
      <c r="C67" s="10">
        <v>0</v>
      </c>
      <c r="D67" s="25">
        <v>0</v>
      </c>
      <c r="E67" s="28">
        <v>0</v>
      </c>
      <c r="F67" s="13">
        <f t="shared" si="1"/>
        <v>1</v>
      </c>
      <c r="G67" s="22">
        <v>1600</v>
      </c>
      <c r="H67" s="19">
        <f t="shared" si="0"/>
        <v>1600</v>
      </c>
      <c r="I67" s="17">
        <v>11</v>
      </c>
    </row>
    <row r="68" spans="1:19" x14ac:dyDescent="0.25">
      <c r="A68" t="s">
        <v>59</v>
      </c>
      <c r="B68" s="7">
        <v>19</v>
      </c>
      <c r="C68" s="10">
        <v>0</v>
      </c>
      <c r="D68" s="25">
        <v>0</v>
      </c>
      <c r="E68" s="28">
        <v>0</v>
      </c>
      <c r="F68" s="13">
        <f t="shared" ref="F68:F108" si="2">B68+C68-I68</f>
        <v>0</v>
      </c>
      <c r="G68" s="22">
        <v>180</v>
      </c>
      <c r="H68" s="19">
        <f t="shared" si="0"/>
        <v>0</v>
      </c>
      <c r="I68" s="17">
        <v>19</v>
      </c>
    </row>
    <row r="69" spans="1:19" x14ac:dyDescent="0.25">
      <c r="A69" t="s">
        <v>52</v>
      </c>
      <c r="B69" s="7">
        <v>20</v>
      </c>
      <c r="C69" s="10">
        <v>0</v>
      </c>
      <c r="D69" s="25">
        <v>0</v>
      </c>
      <c r="E69" s="28">
        <v>0</v>
      </c>
      <c r="F69" s="13">
        <f t="shared" si="2"/>
        <v>1</v>
      </c>
      <c r="G69" s="22">
        <v>200</v>
      </c>
      <c r="H69" s="19">
        <f t="shared" si="0"/>
        <v>200</v>
      </c>
      <c r="I69" s="17">
        <v>19</v>
      </c>
    </row>
    <row r="70" spans="1:19" x14ac:dyDescent="0.25">
      <c r="A70" t="s">
        <v>49</v>
      </c>
      <c r="B70" s="7">
        <v>42</v>
      </c>
      <c r="C70" s="10">
        <v>0</v>
      </c>
      <c r="D70" s="25">
        <v>0</v>
      </c>
      <c r="E70" s="28">
        <v>0</v>
      </c>
      <c r="F70" s="13">
        <f t="shared" si="2"/>
        <v>2</v>
      </c>
      <c r="G70" s="22">
        <v>200</v>
      </c>
      <c r="H70" s="19">
        <f t="shared" si="0"/>
        <v>400</v>
      </c>
      <c r="I70" s="17">
        <v>40</v>
      </c>
    </row>
    <row r="71" spans="1:19" x14ac:dyDescent="0.25">
      <c r="A71" t="s">
        <v>58</v>
      </c>
      <c r="B71" s="7">
        <v>19</v>
      </c>
      <c r="C71" s="10">
        <v>0</v>
      </c>
      <c r="D71" s="25">
        <v>0</v>
      </c>
      <c r="E71" s="28">
        <v>0</v>
      </c>
      <c r="F71" s="13">
        <f t="shared" si="2"/>
        <v>0</v>
      </c>
      <c r="G71" s="22">
        <v>160</v>
      </c>
      <c r="H71" s="19">
        <f t="shared" si="0"/>
        <v>0</v>
      </c>
      <c r="I71" s="17">
        <v>19</v>
      </c>
    </row>
    <row r="72" spans="1:19" x14ac:dyDescent="0.25">
      <c r="A72" t="s">
        <v>50</v>
      </c>
      <c r="B72" s="7">
        <v>11</v>
      </c>
      <c r="C72" s="10">
        <v>0</v>
      </c>
      <c r="D72" s="25">
        <v>0</v>
      </c>
      <c r="E72" s="28">
        <v>0</v>
      </c>
      <c r="F72" s="13">
        <f t="shared" si="2"/>
        <v>6</v>
      </c>
      <c r="G72" s="22">
        <v>200</v>
      </c>
      <c r="H72" s="19">
        <f t="shared" si="0"/>
        <v>1200</v>
      </c>
      <c r="I72" s="17">
        <v>5</v>
      </c>
    </row>
    <row r="73" spans="1:19" x14ac:dyDescent="0.25">
      <c r="A73" t="s">
        <v>51</v>
      </c>
      <c r="B73" s="7">
        <v>10</v>
      </c>
      <c r="C73" s="10">
        <v>0</v>
      </c>
      <c r="D73" s="25">
        <v>0</v>
      </c>
      <c r="E73" s="28">
        <v>0</v>
      </c>
      <c r="F73" s="13">
        <f t="shared" si="2"/>
        <v>0</v>
      </c>
      <c r="G73" s="22">
        <v>200</v>
      </c>
      <c r="H73" s="19">
        <f t="shared" si="0"/>
        <v>0</v>
      </c>
      <c r="I73" s="17">
        <v>10</v>
      </c>
    </row>
    <row r="74" spans="1:19" x14ac:dyDescent="0.25">
      <c r="A74" t="s">
        <v>44</v>
      </c>
      <c r="B74" s="7">
        <v>5</v>
      </c>
      <c r="C74" s="10">
        <v>0</v>
      </c>
      <c r="D74" s="25">
        <v>0</v>
      </c>
      <c r="E74" s="28">
        <v>0</v>
      </c>
      <c r="F74" s="13">
        <f t="shared" si="2"/>
        <v>0</v>
      </c>
      <c r="G74" s="22">
        <v>800</v>
      </c>
      <c r="H74" s="19">
        <f t="shared" si="0"/>
        <v>0</v>
      </c>
      <c r="I74" s="17">
        <v>5</v>
      </c>
    </row>
    <row r="75" spans="1:19" x14ac:dyDescent="0.25">
      <c r="A75" t="s">
        <v>107</v>
      </c>
      <c r="B75" s="7">
        <v>6</v>
      </c>
      <c r="C75" s="10">
        <v>0</v>
      </c>
      <c r="D75" s="25">
        <v>0</v>
      </c>
      <c r="E75" s="28">
        <v>0</v>
      </c>
      <c r="F75" s="13">
        <f t="shared" si="2"/>
        <v>0</v>
      </c>
      <c r="G75" s="22">
        <v>220</v>
      </c>
      <c r="H75" s="19">
        <f t="shared" si="0"/>
        <v>0</v>
      </c>
      <c r="I75" s="17">
        <v>6</v>
      </c>
    </row>
    <row r="76" spans="1:19" x14ac:dyDescent="0.25">
      <c r="A76" t="s">
        <v>34</v>
      </c>
      <c r="B76" s="7">
        <v>0</v>
      </c>
      <c r="C76" s="10">
        <v>0</v>
      </c>
      <c r="D76" s="25">
        <v>0</v>
      </c>
      <c r="E76" s="28">
        <v>0</v>
      </c>
      <c r="F76" s="13">
        <f t="shared" si="2"/>
        <v>0</v>
      </c>
      <c r="G76" s="22">
        <v>2300</v>
      </c>
      <c r="H76" s="19">
        <f t="shared" si="0"/>
        <v>0</v>
      </c>
      <c r="I76" s="17">
        <v>0</v>
      </c>
    </row>
    <row r="77" spans="1:19" x14ac:dyDescent="0.25">
      <c r="A77" t="s">
        <v>35</v>
      </c>
      <c r="B77" s="7">
        <v>1</v>
      </c>
      <c r="C77" s="10">
        <v>0</v>
      </c>
      <c r="D77" s="25">
        <v>0</v>
      </c>
      <c r="E77" s="28">
        <v>0</v>
      </c>
      <c r="F77" s="13">
        <v>1</v>
      </c>
      <c r="G77" s="22">
        <v>2320</v>
      </c>
      <c r="H77" s="19">
        <f t="shared" ref="H77:H108" si="3">F77*G77</f>
        <v>2320</v>
      </c>
      <c r="I77" s="17">
        <v>0</v>
      </c>
    </row>
    <row r="78" spans="1:19" x14ac:dyDescent="0.25">
      <c r="A78" t="s">
        <v>24</v>
      </c>
      <c r="B78" s="7">
        <v>6</v>
      </c>
      <c r="C78" s="10">
        <v>0</v>
      </c>
      <c r="D78" s="25">
        <v>0</v>
      </c>
      <c r="E78" s="28">
        <v>0</v>
      </c>
      <c r="F78" s="13">
        <f t="shared" si="2"/>
        <v>0</v>
      </c>
      <c r="G78" s="22">
        <v>2900</v>
      </c>
      <c r="H78" s="19">
        <f t="shared" si="3"/>
        <v>0</v>
      </c>
      <c r="I78" s="17">
        <v>6</v>
      </c>
    </row>
    <row r="79" spans="1:19" x14ac:dyDescent="0.25">
      <c r="A79" t="s">
        <v>113</v>
      </c>
      <c r="B79" s="7">
        <v>15</v>
      </c>
      <c r="C79" s="10">
        <v>0</v>
      </c>
      <c r="D79" s="25">
        <v>0</v>
      </c>
      <c r="E79" s="28">
        <v>0</v>
      </c>
      <c r="F79" s="13">
        <f t="shared" si="2"/>
        <v>0</v>
      </c>
      <c r="G79" s="22">
        <v>850</v>
      </c>
      <c r="H79" s="19">
        <f t="shared" si="3"/>
        <v>0</v>
      </c>
      <c r="I79" s="17">
        <v>15</v>
      </c>
    </row>
    <row r="80" spans="1:19" x14ac:dyDescent="0.25">
      <c r="A80" t="s">
        <v>31</v>
      </c>
      <c r="B80" s="7">
        <v>39</v>
      </c>
      <c r="C80" s="10">
        <v>0</v>
      </c>
      <c r="D80" s="25">
        <v>0</v>
      </c>
      <c r="E80" s="28">
        <v>0</v>
      </c>
      <c r="F80" s="13">
        <f t="shared" si="2"/>
        <v>2</v>
      </c>
      <c r="G80" s="22">
        <v>550</v>
      </c>
      <c r="H80" s="19">
        <f t="shared" si="3"/>
        <v>1100</v>
      </c>
      <c r="I80" s="17">
        <v>37</v>
      </c>
      <c r="L80" s="3"/>
      <c r="M80" s="3"/>
      <c r="N80" s="3"/>
      <c r="O80" s="3"/>
      <c r="P80" s="5"/>
      <c r="Q80" s="3"/>
      <c r="R80" s="3"/>
      <c r="S80" s="3"/>
    </row>
    <row r="81" spans="1:9" x14ac:dyDescent="0.25">
      <c r="A81" t="s">
        <v>46</v>
      </c>
      <c r="B81" s="7">
        <v>0</v>
      </c>
      <c r="C81" s="10">
        <v>0</v>
      </c>
      <c r="D81" s="25">
        <v>0</v>
      </c>
      <c r="E81" s="28">
        <v>0</v>
      </c>
      <c r="F81" s="13">
        <f t="shared" si="2"/>
        <v>0</v>
      </c>
      <c r="G81" s="22">
        <v>300</v>
      </c>
      <c r="H81" s="19">
        <f t="shared" si="3"/>
        <v>0</v>
      </c>
      <c r="I81" s="17">
        <v>0</v>
      </c>
    </row>
    <row r="82" spans="1:9" x14ac:dyDescent="0.25">
      <c r="A82" t="s">
        <v>111</v>
      </c>
      <c r="B82" s="7">
        <v>0</v>
      </c>
      <c r="C82" s="10">
        <v>0</v>
      </c>
      <c r="D82" s="25">
        <v>0</v>
      </c>
      <c r="E82" s="28">
        <v>0</v>
      </c>
      <c r="F82" s="13">
        <f t="shared" si="2"/>
        <v>0</v>
      </c>
      <c r="G82" s="22">
        <v>300</v>
      </c>
      <c r="H82" s="19">
        <f t="shared" si="3"/>
        <v>0</v>
      </c>
      <c r="I82" s="17">
        <v>0</v>
      </c>
    </row>
    <row r="83" spans="1:9" x14ac:dyDescent="0.25">
      <c r="A83" t="s">
        <v>55</v>
      </c>
      <c r="B83" s="7">
        <v>4</v>
      </c>
      <c r="C83" s="10">
        <v>0</v>
      </c>
      <c r="D83" s="25">
        <v>0</v>
      </c>
      <c r="E83" s="28">
        <v>0</v>
      </c>
      <c r="F83" s="13">
        <f t="shared" si="2"/>
        <v>1</v>
      </c>
      <c r="G83" s="22">
        <v>150</v>
      </c>
      <c r="H83" s="19">
        <f t="shared" si="3"/>
        <v>150</v>
      </c>
      <c r="I83" s="17">
        <v>3</v>
      </c>
    </row>
    <row r="84" spans="1:9" x14ac:dyDescent="0.25">
      <c r="A84" t="s">
        <v>54</v>
      </c>
      <c r="B84" s="7">
        <v>17</v>
      </c>
      <c r="C84" s="10">
        <v>0</v>
      </c>
      <c r="D84" s="25">
        <v>0</v>
      </c>
      <c r="E84" s="28">
        <v>0</v>
      </c>
      <c r="F84" s="13">
        <f t="shared" si="2"/>
        <v>1</v>
      </c>
      <c r="G84" s="22">
        <v>200</v>
      </c>
      <c r="H84" s="19">
        <f t="shared" si="3"/>
        <v>200</v>
      </c>
      <c r="I84" s="17">
        <v>16</v>
      </c>
    </row>
    <row r="85" spans="1:9" x14ac:dyDescent="0.25">
      <c r="A85" t="s">
        <v>56</v>
      </c>
      <c r="B85" s="7">
        <v>22</v>
      </c>
      <c r="C85" s="10">
        <v>0</v>
      </c>
      <c r="D85" s="25">
        <v>0</v>
      </c>
      <c r="E85" s="28">
        <v>0</v>
      </c>
      <c r="F85" s="13">
        <f t="shared" si="2"/>
        <v>1</v>
      </c>
      <c r="G85" s="22">
        <v>150</v>
      </c>
      <c r="H85" s="19">
        <f t="shared" si="3"/>
        <v>150</v>
      </c>
      <c r="I85" s="17">
        <v>21</v>
      </c>
    </row>
    <row r="86" spans="1:9" x14ac:dyDescent="0.25">
      <c r="A86" t="s">
        <v>53</v>
      </c>
      <c r="B86" s="7">
        <v>23</v>
      </c>
      <c r="C86" s="10">
        <v>0</v>
      </c>
      <c r="D86" s="25">
        <v>0</v>
      </c>
      <c r="E86" s="28">
        <v>0</v>
      </c>
      <c r="F86" s="13">
        <f t="shared" si="2"/>
        <v>0</v>
      </c>
      <c r="G86" s="22">
        <v>160</v>
      </c>
      <c r="H86" s="19">
        <f t="shared" si="3"/>
        <v>0</v>
      </c>
      <c r="I86" s="17">
        <v>23</v>
      </c>
    </row>
    <row r="87" spans="1:9" x14ac:dyDescent="0.25">
      <c r="A87" t="s">
        <v>57</v>
      </c>
      <c r="B87" s="7">
        <v>3</v>
      </c>
      <c r="C87" s="10">
        <v>0</v>
      </c>
      <c r="D87" s="25">
        <v>0</v>
      </c>
      <c r="E87" s="28">
        <v>0</v>
      </c>
      <c r="F87" s="13">
        <f t="shared" si="2"/>
        <v>0</v>
      </c>
      <c r="G87" s="22">
        <v>220</v>
      </c>
      <c r="H87" s="19">
        <f t="shared" si="3"/>
        <v>0</v>
      </c>
      <c r="I87" s="17">
        <v>3</v>
      </c>
    </row>
    <row r="88" spans="1:9" x14ac:dyDescent="0.25">
      <c r="A88" t="s">
        <v>63</v>
      </c>
      <c r="B88" s="7">
        <v>21</v>
      </c>
      <c r="C88" s="10">
        <v>0</v>
      </c>
      <c r="D88" s="25">
        <v>0</v>
      </c>
      <c r="E88" s="28">
        <v>0</v>
      </c>
      <c r="F88" s="13">
        <f t="shared" si="2"/>
        <v>1</v>
      </c>
      <c r="G88" s="22">
        <v>850</v>
      </c>
      <c r="H88" s="19">
        <f t="shared" si="3"/>
        <v>850</v>
      </c>
      <c r="I88" s="17">
        <v>20</v>
      </c>
    </row>
    <row r="89" spans="1:9" x14ac:dyDescent="0.25">
      <c r="A89" t="s">
        <v>64</v>
      </c>
      <c r="B89" s="7">
        <v>0</v>
      </c>
      <c r="C89" s="10">
        <v>0</v>
      </c>
      <c r="D89" s="25">
        <v>0</v>
      </c>
      <c r="E89" s="28">
        <v>0</v>
      </c>
      <c r="F89" s="13">
        <f t="shared" si="2"/>
        <v>0</v>
      </c>
      <c r="G89" s="22">
        <v>0</v>
      </c>
      <c r="H89" s="19">
        <f t="shared" si="3"/>
        <v>0</v>
      </c>
      <c r="I89" s="17">
        <v>0</v>
      </c>
    </row>
    <row r="90" spans="1:9" x14ac:dyDescent="0.25">
      <c r="A90" t="s">
        <v>74</v>
      </c>
      <c r="B90" s="7">
        <v>0</v>
      </c>
      <c r="C90" s="10">
        <v>0</v>
      </c>
      <c r="D90" s="25">
        <v>0</v>
      </c>
      <c r="E90" s="28">
        <v>0</v>
      </c>
      <c r="F90" s="13">
        <f t="shared" si="2"/>
        <v>0</v>
      </c>
      <c r="G90" s="22">
        <v>950</v>
      </c>
      <c r="H90" s="19">
        <f t="shared" si="3"/>
        <v>0</v>
      </c>
      <c r="I90" s="17">
        <v>0</v>
      </c>
    </row>
    <row r="91" spans="1:9" x14ac:dyDescent="0.25">
      <c r="A91" t="s">
        <v>96</v>
      </c>
      <c r="B91" s="7">
        <v>26.4</v>
      </c>
      <c r="C91" s="10">
        <v>0</v>
      </c>
      <c r="D91" s="25">
        <v>0</v>
      </c>
      <c r="E91" s="28">
        <v>0</v>
      </c>
      <c r="F91" s="13">
        <f t="shared" si="2"/>
        <v>0.96999999999999886</v>
      </c>
      <c r="G91" s="22">
        <v>1000</v>
      </c>
      <c r="H91" s="19">
        <f t="shared" si="3"/>
        <v>969.99999999999886</v>
      </c>
      <c r="I91" s="17">
        <v>25.43</v>
      </c>
    </row>
    <row r="92" spans="1:9" x14ac:dyDescent="0.25">
      <c r="A92" t="s">
        <v>129</v>
      </c>
      <c r="B92" s="7">
        <v>7</v>
      </c>
      <c r="C92" s="10">
        <v>0</v>
      </c>
      <c r="D92" s="25">
        <v>0</v>
      </c>
      <c r="E92" s="28">
        <v>0</v>
      </c>
      <c r="F92" s="13">
        <f t="shared" si="2"/>
        <v>0</v>
      </c>
      <c r="G92" s="22">
        <v>1000</v>
      </c>
      <c r="H92" s="19">
        <f t="shared" si="3"/>
        <v>0</v>
      </c>
      <c r="I92" s="17">
        <v>7</v>
      </c>
    </row>
    <row r="93" spans="1:9" x14ac:dyDescent="0.25">
      <c r="A93" t="s">
        <v>128</v>
      </c>
      <c r="B93" s="7">
        <v>0</v>
      </c>
      <c r="C93" s="10">
        <v>24</v>
      </c>
      <c r="D93" s="25">
        <v>0</v>
      </c>
      <c r="E93" s="28">
        <v>0</v>
      </c>
      <c r="F93" s="13">
        <f t="shared" si="2"/>
        <v>0</v>
      </c>
      <c r="G93" s="22">
        <v>580</v>
      </c>
      <c r="H93" s="19">
        <f t="shared" si="3"/>
        <v>0</v>
      </c>
      <c r="I93" s="17">
        <v>24</v>
      </c>
    </row>
    <row r="94" spans="1:9" x14ac:dyDescent="0.25">
      <c r="A94" t="s">
        <v>127</v>
      </c>
      <c r="B94" s="7">
        <v>96</v>
      </c>
      <c r="C94" s="10">
        <v>0</v>
      </c>
      <c r="D94" s="25">
        <v>0</v>
      </c>
      <c r="E94" s="28">
        <v>0</v>
      </c>
      <c r="F94" s="13">
        <f t="shared" si="2"/>
        <v>2</v>
      </c>
      <c r="G94" s="22">
        <v>220</v>
      </c>
      <c r="H94" s="19">
        <f t="shared" si="3"/>
        <v>440</v>
      </c>
      <c r="I94" s="17">
        <v>94</v>
      </c>
    </row>
    <row r="95" spans="1:9" x14ac:dyDescent="0.25">
      <c r="A95" t="s">
        <v>112</v>
      </c>
      <c r="B95" s="7">
        <v>0</v>
      </c>
      <c r="C95" s="10">
        <v>0</v>
      </c>
      <c r="D95" s="25">
        <v>0</v>
      </c>
      <c r="E95" s="28">
        <v>0</v>
      </c>
      <c r="F95" s="13">
        <f t="shared" si="2"/>
        <v>0</v>
      </c>
      <c r="G95" s="22">
        <v>1300</v>
      </c>
      <c r="H95" s="19">
        <f t="shared" si="3"/>
        <v>0</v>
      </c>
      <c r="I95" s="17">
        <v>0</v>
      </c>
    </row>
    <row r="96" spans="1:9" x14ac:dyDescent="0.25">
      <c r="A96" t="s">
        <v>2</v>
      </c>
      <c r="B96" s="7">
        <v>37</v>
      </c>
      <c r="C96" s="10">
        <v>0</v>
      </c>
      <c r="D96" s="25">
        <v>0</v>
      </c>
      <c r="E96" s="28">
        <v>0</v>
      </c>
      <c r="F96" s="13">
        <f t="shared" si="2"/>
        <v>4</v>
      </c>
      <c r="G96" s="22">
        <v>550</v>
      </c>
      <c r="H96" s="19">
        <f t="shared" si="3"/>
        <v>2200</v>
      </c>
      <c r="I96" s="17">
        <v>33</v>
      </c>
    </row>
    <row r="97" spans="1:9" x14ac:dyDescent="0.25">
      <c r="A97" t="s">
        <v>104</v>
      </c>
      <c r="B97" s="7">
        <v>8</v>
      </c>
      <c r="C97" s="10">
        <v>0</v>
      </c>
      <c r="D97" s="25">
        <v>0</v>
      </c>
      <c r="E97" s="28">
        <v>0</v>
      </c>
      <c r="F97" s="13">
        <f t="shared" si="2"/>
        <v>3</v>
      </c>
      <c r="G97" s="22">
        <v>1000</v>
      </c>
      <c r="H97" s="19">
        <f t="shared" si="3"/>
        <v>3000</v>
      </c>
      <c r="I97" s="17">
        <v>5</v>
      </c>
    </row>
    <row r="98" spans="1:9" x14ac:dyDescent="0.25">
      <c r="A98" t="s">
        <v>45</v>
      </c>
      <c r="B98" s="7">
        <v>19</v>
      </c>
      <c r="C98" s="10">
        <v>0</v>
      </c>
      <c r="D98" s="25">
        <v>0</v>
      </c>
      <c r="E98" s="28">
        <v>0</v>
      </c>
      <c r="F98" s="13">
        <f t="shared" si="2"/>
        <v>0</v>
      </c>
      <c r="G98" s="22">
        <v>70</v>
      </c>
      <c r="H98" s="19">
        <f t="shared" si="3"/>
        <v>0</v>
      </c>
      <c r="I98" s="17">
        <v>19</v>
      </c>
    </row>
    <row r="99" spans="1:9" x14ac:dyDescent="0.25">
      <c r="A99" t="s">
        <v>119</v>
      </c>
      <c r="B99" s="7">
        <v>24</v>
      </c>
      <c r="C99" s="10">
        <v>0</v>
      </c>
      <c r="D99" s="25">
        <v>0</v>
      </c>
      <c r="E99" s="28">
        <v>0</v>
      </c>
      <c r="F99" s="13">
        <f t="shared" si="2"/>
        <v>0</v>
      </c>
      <c r="G99" s="22">
        <v>850</v>
      </c>
      <c r="H99" s="19">
        <f t="shared" si="3"/>
        <v>0</v>
      </c>
      <c r="I99" s="17">
        <v>24</v>
      </c>
    </row>
    <row r="100" spans="1:9" x14ac:dyDescent="0.25">
      <c r="A100" t="s">
        <v>1</v>
      </c>
      <c r="B100" s="7">
        <v>3</v>
      </c>
      <c r="C100" s="10">
        <v>0</v>
      </c>
      <c r="D100" s="25">
        <v>0</v>
      </c>
      <c r="E100" s="28">
        <v>0</v>
      </c>
      <c r="F100" s="13">
        <f t="shared" si="2"/>
        <v>0</v>
      </c>
      <c r="G100" s="22">
        <v>850</v>
      </c>
      <c r="H100" s="19">
        <f t="shared" si="3"/>
        <v>0</v>
      </c>
      <c r="I100" s="17">
        <v>3</v>
      </c>
    </row>
    <row r="101" spans="1:9" x14ac:dyDescent="0.25">
      <c r="A101" t="s">
        <v>27</v>
      </c>
      <c r="B101" s="7">
        <v>15</v>
      </c>
      <c r="C101" s="10">
        <v>0</v>
      </c>
      <c r="D101" s="25">
        <v>0</v>
      </c>
      <c r="E101" s="28">
        <v>0</v>
      </c>
      <c r="F101" s="13">
        <f t="shared" si="2"/>
        <v>0</v>
      </c>
      <c r="G101" s="22">
        <v>350</v>
      </c>
      <c r="H101" s="19">
        <f t="shared" si="3"/>
        <v>0</v>
      </c>
      <c r="I101" s="17">
        <v>15</v>
      </c>
    </row>
    <row r="102" spans="1:9" x14ac:dyDescent="0.25">
      <c r="A102" t="s">
        <v>37</v>
      </c>
      <c r="B102" s="7">
        <v>24</v>
      </c>
      <c r="C102" s="10">
        <v>0</v>
      </c>
      <c r="D102" s="25">
        <v>0</v>
      </c>
      <c r="E102" s="28">
        <v>0</v>
      </c>
      <c r="F102" s="13">
        <f t="shared" si="2"/>
        <v>1</v>
      </c>
      <c r="G102" s="22">
        <v>380</v>
      </c>
      <c r="H102" s="19">
        <f t="shared" si="3"/>
        <v>380</v>
      </c>
      <c r="I102" s="17">
        <v>23</v>
      </c>
    </row>
    <row r="103" spans="1:9" x14ac:dyDescent="0.25">
      <c r="A103" t="s">
        <v>100</v>
      </c>
      <c r="B103" s="7">
        <v>24</v>
      </c>
      <c r="C103" s="10">
        <v>0</v>
      </c>
      <c r="D103" s="25">
        <v>0</v>
      </c>
      <c r="E103" s="28">
        <v>0</v>
      </c>
      <c r="F103" s="13">
        <f t="shared" si="2"/>
        <v>1</v>
      </c>
      <c r="G103" s="22">
        <v>400</v>
      </c>
      <c r="H103" s="19">
        <f t="shared" si="3"/>
        <v>400</v>
      </c>
      <c r="I103" s="17">
        <v>23</v>
      </c>
    </row>
    <row r="104" spans="1:9" x14ac:dyDescent="0.25">
      <c r="A104" t="s">
        <v>80</v>
      </c>
      <c r="B104" s="7">
        <v>12</v>
      </c>
      <c r="C104" s="10">
        <v>0</v>
      </c>
      <c r="D104" s="25">
        <v>0</v>
      </c>
      <c r="E104" s="28">
        <v>0</v>
      </c>
      <c r="F104" s="13">
        <f t="shared" si="2"/>
        <v>0</v>
      </c>
      <c r="G104" s="22">
        <v>1850</v>
      </c>
      <c r="H104" s="19">
        <f t="shared" si="3"/>
        <v>0</v>
      </c>
      <c r="I104" s="17">
        <v>12</v>
      </c>
    </row>
    <row r="105" spans="1:9" x14ac:dyDescent="0.25">
      <c r="A105" t="s">
        <v>79</v>
      </c>
      <c r="B105" s="7">
        <v>6</v>
      </c>
      <c r="C105" s="10">
        <v>4</v>
      </c>
      <c r="D105" s="25">
        <v>0</v>
      </c>
      <c r="E105" s="28">
        <v>0</v>
      </c>
      <c r="F105" s="13">
        <f t="shared" si="2"/>
        <v>2</v>
      </c>
      <c r="G105" s="22">
        <v>950</v>
      </c>
      <c r="H105" s="19">
        <f t="shared" si="3"/>
        <v>1900</v>
      </c>
      <c r="I105" s="17">
        <v>8</v>
      </c>
    </row>
    <row r="106" spans="1:9" x14ac:dyDescent="0.25">
      <c r="A106" t="s">
        <v>39</v>
      </c>
      <c r="B106" s="7">
        <v>18</v>
      </c>
      <c r="C106" s="10">
        <v>0</v>
      </c>
      <c r="D106" s="25">
        <v>0</v>
      </c>
      <c r="E106" s="28">
        <v>0</v>
      </c>
      <c r="F106" s="13">
        <f t="shared" si="2"/>
        <v>0</v>
      </c>
      <c r="G106" s="22">
        <v>650</v>
      </c>
      <c r="H106" s="19">
        <f t="shared" si="3"/>
        <v>0</v>
      </c>
      <c r="I106" s="17">
        <v>18</v>
      </c>
    </row>
    <row r="107" spans="1:9" x14ac:dyDescent="0.25">
      <c r="A107" t="s">
        <v>16</v>
      </c>
      <c r="B107" s="7">
        <v>0</v>
      </c>
      <c r="C107" s="10">
        <v>0</v>
      </c>
      <c r="D107" s="25">
        <v>0</v>
      </c>
      <c r="E107" s="28">
        <v>0</v>
      </c>
      <c r="F107" s="13">
        <f t="shared" si="2"/>
        <v>0</v>
      </c>
      <c r="G107" s="22">
        <v>0</v>
      </c>
      <c r="H107" s="19">
        <f t="shared" si="3"/>
        <v>0</v>
      </c>
      <c r="I107" s="17">
        <v>0</v>
      </c>
    </row>
    <row r="108" spans="1:9" x14ac:dyDescent="0.25">
      <c r="A108" t="s">
        <v>28</v>
      </c>
      <c r="B108" s="7">
        <v>6</v>
      </c>
      <c r="C108" s="10">
        <v>0</v>
      </c>
      <c r="D108" s="25">
        <v>0</v>
      </c>
      <c r="E108" s="28">
        <v>0</v>
      </c>
      <c r="F108" s="13">
        <f t="shared" si="2"/>
        <v>1</v>
      </c>
      <c r="G108" s="22">
        <v>900</v>
      </c>
      <c r="H108" s="19">
        <f t="shared" si="3"/>
        <v>900</v>
      </c>
      <c r="I108" s="17">
        <v>5</v>
      </c>
    </row>
    <row r="110" spans="1:9" x14ac:dyDescent="0.25">
      <c r="A110" t="s">
        <v>83</v>
      </c>
      <c r="B110" s="3">
        <f>SUM(H3:H108)</f>
        <v>79150</v>
      </c>
    </row>
    <row r="111" spans="1:9" x14ac:dyDescent="0.25">
      <c r="B111" s="3"/>
    </row>
    <row r="113" spans="1:1" x14ac:dyDescent="0.25">
      <c r="A11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349F-B615-4FF2-8A44-05EEA9AC4FF9}">
  <dimension ref="A2:S113"/>
  <sheetViews>
    <sheetView workbookViewId="0">
      <selection activeCell="A91" sqref="A91:XFD91"/>
    </sheetView>
  </sheetViews>
  <sheetFormatPr baseColWidth="10" defaultRowHeight="15" x14ac:dyDescent="0.25"/>
  <cols>
    <col min="1" max="1" width="27.42578125" customWidth="1"/>
    <col min="2" max="2" width="13.42578125" customWidth="1"/>
  </cols>
  <sheetData>
    <row r="2" spans="1:9" x14ac:dyDescent="0.25">
      <c r="A2" s="1" t="s">
        <v>0</v>
      </c>
      <c r="B2" s="6" t="s">
        <v>84</v>
      </c>
      <c r="C2" s="9" t="s">
        <v>85</v>
      </c>
      <c r="D2" s="24" t="s">
        <v>86</v>
      </c>
      <c r="E2" s="27" t="s">
        <v>87</v>
      </c>
      <c r="F2" s="12" t="s">
        <v>88</v>
      </c>
      <c r="G2" s="21" t="s">
        <v>89</v>
      </c>
      <c r="H2" s="18" t="s">
        <v>90</v>
      </c>
      <c r="I2" s="15" t="s">
        <v>91</v>
      </c>
    </row>
    <row r="3" spans="1:9" x14ac:dyDescent="0.25">
      <c r="A3" t="s">
        <v>62</v>
      </c>
      <c r="B3" s="30">
        <v>3</v>
      </c>
      <c r="C3" s="31">
        <v>0</v>
      </c>
      <c r="D3" s="32">
        <v>0</v>
      </c>
      <c r="E3" s="33">
        <v>0</v>
      </c>
      <c r="F3" s="34">
        <f t="shared" ref="F3:F67" si="0">B3+C3-I3</f>
        <v>1</v>
      </c>
      <c r="G3" s="35">
        <v>3200</v>
      </c>
      <c r="H3" s="36">
        <f t="shared" ref="H3:H76" si="1">F3*G3</f>
        <v>3200</v>
      </c>
      <c r="I3" s="37">
        <v>2</v>
      </c>
    </row>
    <row r="4" spans="1:9" x14ac:dyDescent="0.25">
      <c r="A4" t="s">
        <v>78</v>
      </c>
      <c r="B4" s="30">
        <v>12</v>
      </c>
      <c r="C4" s="31">
        <v>0</v>
      </c>
      <c r="D4" s="32">
        <v>0</v>
      </c>
      <c r="E4" s="33">
        <v>0</v>
      </c>
      <c r="F4" s="34">
        <f t="shared" si="0"/>
        <v>0</v>
      </c>
      <c r="G4" s="35">
        <v>2000</v>
      </c>
      <c r="H4" s="36">
        <f t="shared" si="1"/>
        <v>0</v>
      </c>
      <c r="I4" s="37">
        <v>12</v>
      </c>
    </row>
    <row r="5" spans="1:9" x14ac:dyDescent="0.25">
      <c r="A5" t="s">
        <v>14</v>
      </c>
      <c r="B5" s="30">
        <v>5</v>
      </c>
      <c r="C5" s="31">
        <v>3</v>
      </c>
      <c r="D5" s="32">
        <v>0</v>
      </c>
      <c r="E5" s="33">
        <v>0</v>
      </c>
      <c r="F5" s="34">
        <f t="shared" si="0"/>
        <v>4</v>
      </c>
      <c r="G5" s="35">
        <v>500</v>
      </c>
      <c r="H5" s="36">
        <f t="shared" si="1"/>
        <v>2000</v>
      </c>
      <c r="I5" s="37">
        <v>4</v>
      </c>
    </row>
    <row r="6" spans="1:9" x14ac:dyDescent="0.25">
      <c r="A6" t="s">
        <v>13</v>
      </c>
      <c r="B6" s="30">
        <v>18</v>
      </c>
      <c r="C6" s="31">
        <v>0</v>
      </c>
      <c r="D6" s="32">
        <v>0</v>
      </c>
      <c r="E6" s="33">
        <v>0</v>
      </c>
      <c r="F6" s="34">
        <f t="shared" si="0"/>
        <v>0</v>
      </c>
      <c r="G6" s="35">
        <v>300</v>
      </c>
      <c r="H6" s="36">
        <f t="shared" si="1"/>
        <v>0</v>
      </c>
      <c r="I6" s="37">
        <v>18</v>
      </c>
    </row>
    <row r="7" spans="1:9" x14ac:dyDescent="0.25">
      <c r="A7" t="s">
        <v>17</v>
      </c>
      <c r="B7" s="30">
        <v>5</v>
      </c>
      <c r="C7" s="31">
        <v>4</v>
      </c>
      <c r="D7" s="32">
        <v>0</v>
      </c>
      <c r="E7" s="33">
        <v>0</v>
      </c>
      <c r="F7" s="34">
        <f t="shared" si="0"/>
        <v>2</v>
      </c>
      <c r="G7" s="35">
        <v>950</v>
      </c>
      <c r="H7" s="36">
        <f t="shared" si="1"/>
        <v>1900</v>
      </c>
      <c r="I7" s="37">
        <v>7</v>
      </c>
    </row>
    <row r="8" spans="1:9" x14ac:dyDescent="0.25">
      <c r="A8" t="s">
        <v>30</v>
      </c>
      <c r="B8" s="30">
        <v>28</v>
      </c>
      <c r="C8" s="31">
        <v>0</v>
      </c>
      <c r="D8" s="32">
        <v>0</v>
      </c>
      <c r="E8" s="33">
        <v>0</v>
      </c>
      <c r="F8" s="34">
        <f t="shared" si="0"/>
        <v>4</v>
      </c>
      <c r="G8" s="35">
        <v>800</v>
      </c>
      <c r="H8" s="36">
        <f t="shared" si="1"/>
        <v>3200</v>
      </c>
      <c r="I8" s="37">
        <v>24</v>
      </c>
    </row>
    <row r="9" spans="1:9" x14ac:dyDescent="0.25">
      <c r="A9" t="s">
        <v>73</v>
      </c>
      <c r="B9" s="30">
        <v>5</v>
      </c>
      <c r="C9" s="31">
        <v>4</v>
      </c>
      <c r="D9" s="32">
        <v>0</v>
      </c>
      <c r="E9" s="33">
        <v>0</v>
      </c>
      <c r="F9" s="34">
        <f t="shared" si="0"/>
        <v>1</v>
      </c>
      <c r="G9" s="35">
        <v>1400</v>
      </c>
      <c r="H9" s="36">
        <f t="shared" si="1"/>
        <v>1400</v>
      </c>
      <c r="I9" s="37">
        <v>8</v>
      </c>
    </row>
    <row r="10" spans="1:9" x14ac:dyDescent="0.25">
      <c r="A10" t="s">
        <v>19</v>
      </c>
      <c r="B10" s="38">
        <v>0</v>
      </c>
      <c r="C10" s="31">
        <v>0</v>
      </c>
      <c r="D10" s="32">
        <v>0</v>
      </c>
      <c r="E10" s="33">
        <v>0</v>
      </c>
      <c r="F10" s="34">
        <f t="shared" si="0"/>
        <v>0</v>
      </c>
      <c r="G10" s="35">
        <v>1200</v>
      </c>
      <c r="H10" s="36">
        <f t="shared" si="1"/>
        <v>0</v>
      </c>
      <c r="I10" s="37"/>
    </row>
    <row r="11" spans="1:9" x14ac:dyDescent="0.25">
      <c r="A11" t="s">
        <v>22</v>
      </c>
      <c r="B11" s="30">
        <v>11</v>
      </c>
      <c r="C11" s="31">
        <v>0</v>
      </c>
      <c r="D11" s="32">
        <v>0</v>
      </c>
      <c r="E11" s="33">
        <v>0</v>
      </c>
      <c r="F11" s="34">
        <f t="shared" si="0"/>
        <v>0</v>
      </c>
      <c r="G11" s="35">
        <v>1800</v>
      </c>
      <c r="H11" s="36">
        <f t="shared" si="1"/>
        <v>0</v>
      </c>
      <c r="I11" s="37">
        <v>11</v>
      </c>
    </row>
    <row r="12" spans="1:9" x14ac:dyDescent="0.25">
      <c r="A12" t="s">
        <v>103</v>
      </c>
      <c r="B12" s="30">
        <v>1</v>
      </c>
      <c r="C12" s="31">
        <v>0</v>
      </c>
      <c r="D12" s="32">
        <v>0</v>
      </c>
      <c r="E12" s="33">
        <v>0</v>
      </c>
      <c r="F12" s="34">
        <f t="shared" si="0"/>
        <v>1</v>
      </c>
      <c r="G12" s="35">
        <v>600</v>
      </c>
      <c r="H12" s="36">
        <f t="shared" si="1"/>
        <v>600</v>
      </c>
      <c r="I12" s="37">
        <v>0</v>
      </c>
    </row>
    <row r="13" spans="1:9" x14ac:dyDescent="0.25">
      <c r="A13" t="s">
        <v>117</v>
      </c>
      <c r="B13" s="30">
        <v>24</v>
      </c>
      <c r="C13" s="31">
        <v>0</v>
      </c>
      <c r="D13" s="32">
        <v>0</v>
      </c>
      <c r="E13" s="33">
        <v>0</v>
      </c>
      <c r="F13" s="34">
        <f t="shared" si="0"/>
        <v>0</v>
      </c>
      <c r="G13" s="35">
        <v>600</v>
      </c>
      <c r="H13" s="36">
        <f t="shared" si="1"/>
        <v>0</v>
      </c>
      <c r="I13" s="37">
        <v>24</v>
      </c>
    </row>
    <row r="14" spans="1:9" x14ac:dyDescent="0.25">
      <c r="A14" t="s">
        <v>126</v>
      </c>
      <c r="B14" s="30">
        <v>24</v>
      </c>
      <c r="C14" s="31">
        <v>0</v>
      </c>
      <c r="D14" s="32">
        <v>0</v>
      </c>
      <c r="E14" s="33">
        <v>0</v>
      </c>
      <c r="F14" s="34">
        <f t="shared" si="0"/>
        <v>8</v>
      </c>
      <c r="G14" s="35">
        <v>700</v>
      </c>
      <c r="H14" s="36">
        <f t="shared" si="1"/>
        <v>5600</v>
      </c>
      <c r="I14" s="37">
        <v>16</v>
      </c>
    </row>
    <row r="15" spans="1:9" x14ac:dyDescent="0.25">
      <c r="A15" t="s">
        <v>116</v>
      </c>
      <c r="B15" s="30">
        <v>22</v>
      </c>
      <c r="C15" s="31">
        <v>0</v>
      </c>
      <c r="D15" s="32">
        <v>0</v>
      </c>
      <c r="E15" s="33">
        <v>0</v>
      </c>
      <c r="F15" s="34">
        <f t="shared" si="0"/>
        <v>2</v>
      </c>
      <c r="G15" s="35">
        <v>650</v>
      </c>
      <c r="H15" s="36">
        <f t="shared" si="1"/>
        <v>1300</v>
      </c>
      <c r="I15" s="37">
        <v>20</v>
      </c>
    </row>
    <row r="16" spans="1:9" x14ac:dyDescent="0.25">
      <c r="A16" t="s">
        <v>118</v>
      </c>
      <c r="B16" s="30">
        <v>25</v>
      </c>
      <c r="C16" s="31">
        <v>0</v>
      </c>
      <c r="D16" s="32">
        <v>0</v>
      </c>
      <c r="E16" s="33">
        <v>0</v>
      </c>
      <c r="F16" s="34">
        <f t="shared" si="0"/>
        <v>8</v>
      </c>
      <c r="G16" s="35">
        <v>600</v>
      </c>
      <c r="H16" s="36">
        <f t="shared" si="1"/>
        <v>4800</v>
      </c>
      <c r="I16" s="37">
        <v>17</v>
      </c>
    </row>
    <row r="17" spans="1:9" x14ac:dyDescent="0.25">
      <c r="A17" t="s">
        <v>10</v>
      </c>
      <c r="B17" s="38">
        <v>0</v>
      </c>
      <c r="C17" s="31">
        <v>0</v>
      </c>
      <c r="D17" s="32">
        <v>0</v>
      </c>
      <c r="E17" s="33">
        <v>0</v>
      </c>
      <c r="F17" s="34">
        <f t="shared" si="0"/>
        <v>0</v>
      </c>
      <c r="G17" s="35">
        <v>550</v>
      </c>
      <c r="H17" s="36">
        <f t="shared" si="1"/>
        <v>0</v>
      </c>
      <c r="I17" s="37"/>
    </row>
    <row r="18" spans="1:9" x14ac:dyDescent="0.25">
      <c r="A18" t="s">
        <v>12</v>
      </c>
      <c r="B18" s="38">
        <v>0</v>
      </c>
      <c r="C18" s="31">
        <v>0</v>
      </c>
      <c r="D18" s="32">
        <v>0</v>
      </c>
      <c r="E18" s="33">
        <v>0</v>
      </c>
      <c r="F18" s="34">
        <f t="shared" si="0"/>
        <v>0</v>
      </c>
      <c r="G18" s="35">
        <v>550</v>
      </c>
      <c r="H18" s="36">
        <f t="shared" si="1"/>
        <v>0</v>
      </c>
      <c r="I18" s="37"/>
    </row>
    <row r="19" spans="1:9" x14ac:dyDescent="0.25">
      <c r="A19" t="s">
        <v>11</v>
      </c>
      <c r="B19" s="38">
        <v>0</v>
      </c>
      <c r="C19" s="31">
        <v>0</v>
      </c>
      <c r="D19" s="32">
        <v>0</v>
      </c>
      <c r="E19" s="33">
        <v>0</v>
      </c>
      <c r="F19" s="34">
        <f t="shared" si="0"/>
        <v>0</v>
      </c>
      <c r="G19" s="35">
        <v>550</v>
      </c>
      <c r="H19" s="36">
        <f t="shared" si="1"/>
        <v>0</v>
      </c>
      <c r="I19" s="37"/>
    </row>
    <row r="20" spans="1:9" x14ac:dyDescent="0.25">
      <c r="A20" t="s">
        <v>29</v>
      </c>
      <c r="B20" s="30">
        <v>3</v>
      </c>
      <c r="C20" s="31">
        <v>0</v>
      </c>
      <c r="D20" s="32">
        <v>0</v>
      </c>
      <c r="E20" s="33">
        <v>0</v>
      </c>
      <c r="F20" s="34">
        <f t="shared" si="0"/>
        <v>0</v>
      </c>
      <c r="G20" s="35">
        <v>1000</v>
      </c>
      <c r="H20" s="36">
        <f t="shared" si="1"/>
        <v>0</v>
      </c>
      <c r="I20" s="37">
        <v>3</v>
      </c>
    </row>
    <row r="21" spans="1:9" x14ac:dyDescent="0.25">
      <c r="A21" t="s">
        <v>69</v>
      </c>
      <c r="B21" s="30">
        <v>1</v>
      </c>
      <c r="C21" s="31">
        <v>0</v>
      </c>
      <c r="D21" s="32">
        <v>0</v>
      </c>
      <c r="E21" s="33">
        <v>0</v>
      </c>
      <c r="F21" s="34">
        <f t="shared" si="0"/>
        <v>0</v>
      </c>
      <c r="G21" s="35">
        <v>80</v>
      </c>
      <c r="H21" s="36">
        <f t="shared" si="1"/>
        <v>0</v>
      </c>
      <c r="I21" s="37">
        <v>1</v>
      </c>
    </row>
    <row r="22" spans="1:9" x14ac:dyDescent="0.25">
      <c r="A22" t="s">
        <v>67</v>
      </c>
      <c r="B22" s="38">
        <v>0</v>
      </c>
      <c r="C22" s="31">
        <v>0</v>
      </c>
      <c r="D22" s="32">
        <v>0</v>
      </c>
      <c r="E22" s="33">
        <v>0</v>
      </c>
      <c r="F22" s="34">
        <f t="shared" si="0"/>
        <v>0</v>
      </c>
      <c r="G22" s="35">
        <v>950</v>
      </c>
      <c r="H22" s="36">
        <f t="shared" si="1"/>
        <v>0</v>
      </c>
      <c r="I22" s="37"/>
    </row>
    <row r="23" spans="1:9" x14ac:dyDescent="0.25">
      <c r="A23" t="s">
        <v>125</v>
      </c>
      <c r="B23" s="30">
        <v>111</v>
      </c>
      <c r="C23" s="31">
        <v>0</v>
      </c>
      <c r="D23" s="32">
        <v>0</v>
      </c>
      <c r="E23" s="33">
        <v>0</v>
      </c>
      <c r="F23" s="34">
        <f t="shared" si="0"/>
        <v>4</v>
      </c>
      <c r="G23" s="35">
        <v>750</v>
      </c>
      <c r="H23" s="36">
        <f>F23*G23</f>
        <v>3000</v>
      </c>
      <c r="I23" s="37">
        <v>107</v>
      </c>
    </row>
    <row r="24" spans="1:9" x14ac:dyDescent="0.25">
      <c r="A24" t="s">
        <v>66</v>
      </c>
      <c r="B24" s="38">
        <v>0</v>
      </c>
      <c r="C24" s="31">
        <v>0</v>
      </c>
      <c r="D24" s="32">
        <v>0</v>
      </c>
      <c r="E24" s="33">
        <v>0</v>
      </c>
      <c r="F24" s="34">
        <f t="shared" si="0"/>
        <v>0</v>
      </c>
      <c r="G24" s="35">
        <v>1000</v>
      </c>
      <c r="H24" s="36">
        <f t="shared" si="1"/>
        <v>0</v>
      </c>
      <c r="I24" s="37"/>
    </row>
    <row r="25" spans="1:9" x14ac:dyDescent="0.25">
      <c r="A25" t="s">
        <v>65</v>
      </c>
      <c r="B25" s="30">
        <v>7</v>
      </c>
      <c r="C25" s="31">
        <v>0</v>
      </c>
      <c r="D25" s="32">
        <v>0</v>
      </c>
      <c r="E25" s="33">
        <v>0</v>
      </c>
      <c r="F25" s="34">
        <f t="shared" si="0"/>
        <v>7</v>
      </c>
      <c r="G25" s="35">
        <v>750</v>
      </c>
      <c r="H25" s="36">
        <f t="shared" si="1"/>
        <v>5250</v>
      </c>
      <c r="I25" s="37">
        <v>0</v>
      </c>
    </row>
    <row r="26" spans="1:9" x14ac:dyDescent="0.25">
      <c r="A26" t="s">
        <v>123</v>
      </c>
      <c r="B26" s="30">
        <v>8</v>
      </c>
      <c r="C26" s="31">
        <v>0</v>
      </c>
      <c r="D26" s="32">
        <v>0</v>
      </c>
      <c r="E26" s="33">
        <v>0</v>
      </c>
      <c r="F26" s="34">
        <f t="shared" si="0"/>
        <v>1</v>
      </c>
      <c r="G26" s="35">
        <v>680</v>
      </c>
      <c r="H26" s="36">
        <f t="shared" si="1"/>
        <v>680</v>
      </c>
      <c r="I26" s="37">
        <v>7</v>
      </c>
    </row>
    <row r="27" spans="1:9" x14ac:dyDescent="0.25">
      <c r="A27" t="s">
        <v>75</v>
      </c>
      <c r="B27" s="30">
        <v>110</v>
      </c>
      <c r="C27" s="31">
        <v>0</v>
      </c>
      <c r="D27" s="32">
        <v>0</v>
      </c>
      <c r="E27" s="33">
        <v>0</v>
      </c>
      <c r="F27" s="34">
        <f t="shared" si="0"/>
        <v>0</v>
      </c>
      <c r="G27" s="35">
        <v>70</v>
      </c>
      <c r="H27" s="36">
        <f t="shared" si="1"/>
        <v>0</v>
      </c>
      <c r="I27" s="37">
        <v>110</v>
      </c>
    </row>
    <row r="28" spans="1:9" x14ac:dyDescent="0.25">
      <c r="A28" t="s">
        <v>130</v>
      </c>
      <c r="B28" s="30">
        <v>23</v>
      </c>
      <c r="C28" s="31">
        <v>0</v>
      </c>
      <c r="D28" s="32">
        <v>0</v>
      </c>
      <c r="E28" s="33">
        <v>0</v>
      </c>
      <c r="F28" s="34">
        <f t="shared" si="0"/>
        <v>6</v>
      </c>
      <c r="G28" s="35">
        <v>1000</v>
      </c>
      <c r="H28" s="36">
        <f t="shared" si="1"/>
        <v>6000</v>
      </c>
      <c r="I28" s="37">
        <v>17</v>
      </c>
    </row>
    <row r="29" spans="1:9" x14ac:dyDescent="0.25">
      <c r="A29" t="s">
        <v>71</v>
      </c>
      <c r="B29" s="30">
        <v>10</v>
      </c>
      <c r="C29" s="31">
        <v>0</v>
      </c>
      <c r="D29" s="32">
        <v>0</v>
      </c>
      <c r="E29" s="33">
        <v>0</v>
      </c>
      <c r="F29" s="34">
        <f t="shared" si="0"/>
        <v>0</v>
      </c>
      <c r="G29" s="35">
        <v>1100</v>
      </c>
      <c r="H29" s="36">
        <f t="shared" si="1"/>
        <v>0</v>
      </c>
      <c r="I29" s="37">
        <v>10</v>
      </c>
    </row>
    <row r="30" spans="1:9" x14ac:dyDescent="0.25">
      <c r="A30" t="s">
        <v>25</v>
      </c>
      <c r="B30" s="30">
        <v>5</v>
      </c>
      <c r="C30" s="31">
        <v>0</v>
      </c>
      <c r="D30" s="32">
        <v>0</v>
      </c>
      <c r="E30" s="33">
        <v>0</v>
      </c>
      <c r="F30" s="34">
        <f t="shared" si="0"/>
        <v>0</v>
      </c>
      <c r="G30" s="35">
        <v>800</v>
      </c>
      <c r="H30" s="36">
        <f t="shared" si="1"/>
        <v>0</v>
      </c>
      <c r="I30" s="37">
        <v>5</v>
      </c>
    </row>
    <row r="31" spans="1:9" x14ac:dyDescent="0.25">
      <c r="A31" t="s">
        <v>9</v>
      </c>
      <c r="B31" s="30">
        <v>19</v>
      </c>
      <c r="C31" s="31">
        <v>0</v>
      </c>
      <c r="D31" s="32">
        <v>0</v>
      </c>
      <c r="E31" s="33">
        <v>0</v>
      </c>
      <c r="F31" s="34">
        <f t="shared" si="0"/>
        <v>1</v>
      </c>
      <c r="G31" s="35">
        <v>550</v>
      </c>
      <c r="H31" s="36">
        <f t="shared" si="1"/>
        <v>550</v>
      </c>
      <c r="I31" s="37">
        <v>18</v>
      </c>
    </row>
    <row r="32" spans="1:9" x14ac:dyDescent="0.25">
      <c r="A32" t="s">
        <v>115</v>
      </c>
      <c r="B32" s="30">
        <v>16</v>
      </c>
      <c r="C32" s="31">
        <v>0</v>
      </c>
      <c r="D32" s="32">
        <v>0</v>
      </c>
      <c r="E32" s="33">
        <v>0</v>
      </c>
      <c r="F32" s="34">
        <f t="shared" si="0"/>
        <v>0</v>
      </c>
      <c r="G32" s="35">
        <v>680</v>
      </c>
      <c r="H32" s="36">
        <f t="shared" si="1"/>
        <v>0</v>
      </c>
      <c r="I32" s="37">
        <v>16</v>
      </c>
    </row>
    <row r="33" spans="1:9" x14ac:dyDescent="0.25">
      <c r="A33" t="s">
        <v>131</v>
      </c>
      <c r="B33" s="30">
        <v>9</v>
      </c>
      <c r="C33" s="31">
        <v>0</v>
      </c>
      <c r="D33" s="32">
        <v>0</v>
      </c>
      <c r="E33" s="33">
        <v>0</v>
      </c>
      <c r="F33" s="34">
        <f t="shared" si="0"/>
        <v>0</v>
      </c>
      <c r="G33" s="35">
        <v>1150</v>
      </c>
      <c r="H33" s="36">
        <f t="shared" si="1"/>
        <v>0</v>
      </c>
      <c r="I33" s="37">
        <v>9</v>
      </c>
    </row>
    <row r="34" spans="1:9" x14ac:dyDescent="0.25">
      <c r="A34" t="s">
        <v>60</v>
      </c>
      <c r="B34" s="38">
        <v>0</v>
      </c>
      <c r="C34" s="31">
        <v>0</v>
      </c>
      <c r="D34" s="32">
        <v>0</v>
      </c>
      <c r="E34" s="33">
        <v>0</v>
      </c>
      <c r="F34" s="34">
        <f t="shared" si="0"/>
        <v>0</v>
      </c>
      <c r="G34" s="35">
        <v>0</v>
      </c>
      <c r="H34" s="36">
        <f t="shared" si="1"/>
        <v>0</v>
      </c>
      <c r="I34" s="37"/>
    </row>
    <row r="35" spans="1:9" x14ac:dyDescent="0.25">
      <c r="A35" t="s">
        <v>41</v>
      </c>
      <c r="B35" s="30">
        <v>101</v>
      </c>
      <c r="C35" s="31">
        <v>0</v>
      </c>
      <c r="D35" s="32">
        <v>0</v>
      </c>
      <c r="E35" s="33">
        <v>0</v>
      </c>
      <c r="F35" s="34">
        <f t="shared" si="0"/>
        <v>16</v>
      </c>
      <c r="G35" s="35">
        <v>120</v>
      </c>
      <c r="H35" s="36">
        <f t="shared" si="1"/>
        <v>1920</v>
      </c>
      <c r="I35" s="37">
        <v>85</v>
      </c>
    </row>
    <row r="36" spans="1:9" x14ac:dyDescent="0.25">
      <c r="A36" t="s">
        <v>42</v>
      </c>
      <c r="B36" s="38">
        <v>0</v>
      </c>
      <c r="C36" s="31">
        <v>0</v>
      </c>
      <c r="D36" s="32">
        <v>0</v>
      </c>
      <c r="E36" s="33">
        <v>0</v>
      </c>
      <c r="F36" s="34">
        <f t="shared" si="0"/>
        <v>0</v>
      </c>
      <c r="G36" s="35">
        <v>1400</v>
      </c>
      <c r="H36" s="36">
        <f t="shared" si="1"/>
        <v>0</v>
      </c>
      <c r="I36" s="37"/>
    </row>
    <row r="37" spans="1:9" x14ac:dyDescent="0.25">
      <c r="A37" t="s">
        <v>82</v>
      </c>
      <c r="B37" s="38">
        <v>0</v>
      </c>
      <c r="C37" s="31">
        <v>0</v>
      </c>
      <c r="D37" s="32">
        <v>0</v>
      </c>
      <c r="E37" s="33">
        <v>0</v>
      </c>
      <c r="F37" s="34">
        <f t="shared" si="0"/>
        <v>0</v>
      </c>
      <c r="G37" s="35">
        <v>380</v>
      </c>
      <c r="H37" s="36">
        <f t="shared" si="1"/>
        <v>0</v>
      </c>
      <c r="I37" s="37"/>
    </row>
    <row r="38" spans="1:9" x14ac:dyDescent="0.25">
      <c r="A38" t="s">
        <v>32</v>
      </c>
      <c r="B38" s="30">
        <v>13</v>
      </c>
      <c r="C38" s="31">
        <v>0</v>
      </c>
      <c r="D38" s="32">
        <v>0</v>
      </c>
      <c r="E38" s="33">
        <v>0</v>
      </c>
      <c r="F38" s="34">
        <f t="shared" si="0"/>
        <v>2</v>
      </c>
      <c r="G38" s="35">
        <v>250</v>
      </c>
      <c r="H38" s="36">
        <f t="shared" si="1"/>
        <v>500</v>
      </c>
      <c r="I38" s="37">
        <v>11</v>
      </c>
    </row>
    <row r="39" spans="1:9" x14ac:dyDescent="0.25">
      <c r="A39" t="s">
        <v>36</v>
      </c>
      <c r="B39" s="30">
        <v>15</v>
      </c>
      <c r="C39" s="31">
        <v>0</v>
      </c>
      <c r="D39" s="32">
        <v>0</v>
      </c>
      <c r="E39" s="33">
        <v>0</v>
      </c>
      <c r="F39" s="34">
        <f t="shared" si="0"/>
        <v>0</v>
      </c>
      <c r="G39" s="35">
        <v>350</v>
      </c>
      <c r="H39" s="36">
        <f t="shared" si="1"/>
        <v>0</v>
      </c>
      <c r="I39" s="37">
        <v>15</v>
      </c>
    </row>
    <row r="40" spans="1:9" x14ac:dyDescent="0.25">
      <c r="A40" t="s">
        <v>114</v>
      </c>
      <c r="B40" s="30">
        <v>32</v>
      </c>
      <c r="C40" s="31">
        <v>0</v>
      </c>
      <c r="D40" s="32">
        <v>0</v>
      </c>
      <c r="E40" s="33">
        <v>0</v>
      </c>
      <c r="F40" s="34">
        <f t="shared" si="0"/>
        <v>2</v>
      </c>
      <c r="G40" s="35">
        <v>500</v>
      </c>
      <c r="H40" s="36">
        <f t="shared" si="1"/>
        <v>1000</v>
      </c>
      <c r="I40" s="37">
        <v>30</v>
      </c>
    </row>
    <row r="41" spans="1:9" x14ac:dyDescent="0.25">
      <c r="A41" t="s">
        <v>48</v>
      </c>
      <c r="B41" s="30">
        <v>7</v>
      </c>
      <c r="C41" s="31">
        <v>8</v>
      </c>
      <c r="D41" s="32">
        <v>0</v>
      </c>
      <c r="E41" s="33">
        <v>0</v>
      </c>
      <c r="F41" s="34">
        <f t="shared" si="0"/>
        <v>2</v>
      </c>
      <c r="G41" s="35">
        <v>450</v>
      </c>
      <c r="H41" s="36">
        <f t="shared" si="1"/>
        <v>900</v>
      </c>
      <c r="I41" s="37">
        <v>13</v>
      </c>
    </row>
    <row r="42" spans="1:9" x14ac:dyDescent="0.25">
      <c r="A42" t="s">
        <v>121</v>
      </c>
      <c r="B42" s="30">
        <v>5</v>
      </c>
      <c r="C42" s="31">
        <v>0</v>
      </c>
      <c r="D42" s="32">
        <v>0</v>
      </c>
      <c r="E42" s="33">
        <v>0</v>
      </c>
      <c r="F42" s="34">
        <f t="shared" si="0"/>
        <v>1</v>
      </c>
      <c r="G42" s="35">
        <v>2200</v>
      </c>
      <c r="H42" s="36">
        <f t="shared" si="1"/>
        <v>2200</v>
      </c>
      <c r="I42" s="37">
        <v>4</v>
      </c>
    </row>
    <row r="43" spans="1:9" x14ac:dyDescent="0.25">
      <c r="A43" t="s">
        <v>122</v>
      </c>
      <c r="B43" s="30">
        <v>49</v>
      </c>
      <c r="C43" s="31">
        <v>0</v>
      </c>
      <c r="D43" s="32">
        <v>0</v>
      </c>
      <c r="E43" s="33">
        <v>0</v>
      </c>
      <c r="F43" s="34">
        <f t="shared" si="0"/>
        <v>1</v>
      </c>
      <c r="G43" s="35">
        <v>320</v>
      </c>
      <c r="H43" s="36">
        <f t="shared" si="1"/>
        <v>320</v>
      </c>
      <c r="I43" s="37">
        <v>48</v>
      </c>
    </row>
    <row r="44" spans="1:9" x14ac:dyDescent="0.25">
      <c r="A44" t="s">
        <v>40</v>
      </c>
      <c r="B44" s="30">
        <v>9</v>
      </c>
      <c r="C44" s="31">
        <v>0</v>
      </c>
      <c r="D44" s="32">
        <v>0</v>
      </c>
      <c r="E44" s="33">
        <v>0</v>
      </c>
      <c r="F44" s="34">
        <f t="shared" si="0"/>
        <v>1</v>
      </c>
      <c r="G44" s="35">
        <v>1100</v>
      </c>
      <c r="H44" s="36">
        <f t="shared" si="1"/>
        <v>1100</v>
      </c>
      <c r="I44" s="37">
        <v>8</v>
      </c>
    </row>
    <row r="45" spans="1:9" x14ac:dyDescent="0.25">
      <c r="A45" t="s">
        <v>81</v>
      </c>
      <c r="B45" s="30">
        <v>20</v>
      </c>
      <c r="C45" s="31">
        <v>0</v>
      </c>
      <c r="D45" s="32">
        <v>0</v>
      </c>
      <c r="E45" s="33">
        <v>0</v>
      </c>
      <c r="F45" s="34">
        <f t="shared" si="0"/>
        <v>0</v>
      </c>
      <c r="G45" s="35">
        <v>460</v>
      </c>
      <c r="H45" s="36">
        <f t="shared" si="1"/>
        <v>0</v>
      </c>
      <c r="I45" s="37">
        <v>20</v>
      </c>
    </row>
    <row r="46" spans="1:9" x14ac:dyDescent="0.25">
      <c r="A46" t="s">
        <v>99</v>
      </c>
      <c r="B46" s="30">
        <v>126</v>
      </c>
      <c r="C46" s="31">
        <v>0</v>
      </c>
      <c r="D46" s="32">
        <v>0</v>
      </c>
      <c r="E46" s="33">
        <v>0</v>
      </c>
      <c r="F46" s="34">
        <f t="shared" si="0"/>
        <v>6</v>
      </c>
      <c r="G46" s="39">
        <v>220</v>
      </c>
      <c r="H46" s="36">
        <f t="shared" si="1"/>
        <v>1320</v>
      </c>
      <c r="I46" s="37">
        <v>120</v>
      </c>
    </row>
    <row r="47" spans="1:9" x14ac:dyDescent="0.25">
      <c r="A47" t="s">
        <v>70</v>
      </c>
      <c r="B47" s="30">
        <v>12</v>
      </c>
      <c r="C47" s="31">
        <v>0</v>
      </c>
      <c r="D47" s="32">
        <v>0</v>
      </c>
      <c r="E47" s="33">
        <v>0</v>
      </c>
      <c r="F47" s="34">
        <f t="shared" si="0"/>
        <v>0</v>
      </c>
      <c r="G47" s="35">
        <v>1300</v>
      </c>
      <c r="H47" s="36">
        <f t="shared" si="1"/>
        <v>0</v>
      </c>
      <c r="I47" s="37">
        <v>12</v>
      </c>
    </row>
    <row r="48" spans="1:9" x14ac:dyDescent="0.25">
      <c r="A48" t="s">
        <v>76</v>
      </c>
      <c r="B48" s="30">
        <v>12</v>
      </c>
      <c r="C48" s="31">
        <v>0</v>
      </c>
      <c r="D48" s="32">
        <v>0</v>
      </c>
      <c r="E48" s="33">
        <v>0</v>
      </c>
      <c r="F48" s="34">
        <f t="shared" si="0"/>
        <v>0</v>
      </c>
      <c r="G48" s="35">
        <v>800</v>
      </c>
      <c r="H48" s="36">
        <f t="shared" si="1"/>
        <v>0</v>
      </c>
      <c r="I48" s="37">
        <v>12</v>
      </c>
    </row>
    <row r="49" spans="1:9" x14ac:dyDescent="0.25">
      <c r="A49" t="s">
        <v>33</v>
      </c>
      <c r="B49" s="30">
        <v>32</v>
      </c>
      <c r="C49" s="31">
        <v>0</v>
      </c>
      <c r="D49" s="32">
        <v>0</v>
      </c>
      <c r="E49" s="33">
        <v>0</v>
      </c>
      <c r="F49" s="34">
        <f t="shared" si="0"/>
        <v>10</v>
      </c>
      <c r="G49" s="35">
        <v>10</v>
      </c>
      <c r="H49" s="36">
        <f t="shared" si="1"/>
        <v>100</v>
      </c>
      <c r="I49" s="37">
        <v>22</v>
      </c>
    </row>
    <row r="50" spans="1:9" x14ac:dyDescent="0.25">
      <c r="A50" t="s">
        <v>61</v>
      </c>
      <c r="B50" s="38">
        <v>0</v>
      </c>
      <c r="C50" s="31">
        <v>0</v>
      </c>
      <c r="D50" s="32">
        <v>0</v>
      </c>
      <c r="E50" s="33">
        <v>0</v>
      </c>
      <c r="F50" s="34">
        <f t="shared" si="0"/>
        <v>0</v>
      </c>
      <c r="G50" s="39">
        <v>400</v>
      </c>
      <c r="H50" s="36">
        <f t="shared" si="1"/>
        <v>0</v>
      </c>
      <c r="I50" s="37"/>
    </row>
    <row r="51" spans="1:9" x14ac:dyDescent="0.25">
      <c r="A51" t="s">
        <v>98</v>
      </c>
      <c r="B51" s="30">
        <v>2.2000000000000002</v>
      </c>
      <c r="C51" s="31">
        <v>0</v>
      </c>
      <c r="D51" s="32">
        <v>0</v>
      </c>
      <c r="E51" s="33">
        <v>0</v>
      </c>
      <c r="F51" s="34">
        <f t="shared" si="0"/>
        <v>0</v>
      </c>
      <c r="G51" s="39">
        <v>800</v>
      </c>
      <c r="H51" s="36">
        <f>F51*G51</f>
        <v>0</v>
      </c>
      <c r="I51" s="37">
        <v>2.2000000000000002</v>
      </c>
    </row>
    <row r="52" spans="1:9" x14ac:dyDescent="0.25">
      <c r="A52" t="s">
        <v>6</v>
      </c>
      <c r="B52" s="38">
        <v>0</v>
      </c>
      <c r="C52" s="31">
        <v>0</v>
      </c>
      <c r="D52" s="32">
        <v>0</v>
      </c>
      <c r="E52" s="33">
        <v>0</v>
      </c>
      <c r="F52" s="34">
        <f t="shared" si="0"/>
        <v>0</v>
      </c>
      <c r="G52" s="35">
        <v>550</v>
      </c>
      <c r="H52" s="36">
        <f t="shared" si="1"/>
        <v>0</v>
      </c>
      <c r="I52" s="37"/>
    </row>
    <row r="53" spans="1:9" x14ac:dyDescent="0.25">
      <c r="A53" t="s">
        <v>8</v>
      </c>
      <c r="B53" s="30">
        <v>12</v>
      </c>
      <c r="C53" s="31">
        <v>0</v>
      </c>
      <c r="D53" s="32">
        <v>0</v>
      </c>
      <c r="E53" s="33">
        <v>0</v>
      </c>
      <c r="F53" s="34">
        <f t="shared" si="0"/>
        <v>0</v>
      </c>
      <c r="G53" s="35">
        <v>550</v>
      </c>
      <c r="H53" s="36">
        <f t="shared" si="1"/>
        <v>0</v>
      </c>
      <c r="I53" s="37">
        <v>12</v>
      </c>
    </row>
    <row r="54" spans="1:9" x14ac:dyDescent="0.25">
      <c r="A54" t="s">
        <v>108</v>
      </c>
      <c r="B54" s="38">
        <v>0</v>
      </c>
      <c r="C54" s="31">
        <v>0</v>
      </c>
      <c r="D54" s="32">
        <v>0</v>
      </c>
      <c r="E54" s="33">
        <v>0</v>
      </c>
      <c r="F54" s="34">
        <f t="shared" si="0"/>
        <v>0</v>
      </c>
      <c r="G54" s="35">
        <v>550</v>
      </c>
      <c r="H54" s="36">
        <f t="shared" si="1"/>
        <v>0</v>
      </c>
      <c r="I54" s="37"/>
    </row>
    <row r="55" spans="1:9" x14ac:dyDescent="0.25">
      <c r="A55" t="s">
        <v>109</v>
      </c>
      <c r="B55" s="38">
        <v>0</v>
      </c>
      <c r="C55" s="31">
        <v>0</v>
      </c>
      <c r="D55" s="32">
        <v>0</v>
      </c>
      <c r="E55" s="33">
        <v>0</v>
      </c>
      <c r="F55" s="34">
        <f t="shared" si="0"/>
        <v>0</v>
      </c>
      <c r="G55" s="35">
        <v>1400</v>
      </c>
      <c r="H55" s="36">
        <f t="shared" si="1"/>
        <v>0</v>
      </c>
      <c r="I55" s="37"/>
    </row>
    <row r="56" spans="1:9" x14ac:dyDescent="0.25">
      <c r="A56" t="s">
        <v>95</v>
      </c>
      <c r="B56" s="38">
        <v>0</v>
      </c>
      <c r="C56" s="31">
        <v>0</v>
      </c>
      <c r="D56" s="32">
        <v>0</v>
      </c>
      <c r="E56" s="33">
        <v>0</v>
      </c>
      <c r="F56" s="34">
        <f t="shared" si="0"/>
        <v>0</v>
      </c>
      <c r="G56" s="35">
        <v>1400</v>
      </c>
      <c r="H56" s="36">
        <f t="shared" si="1"/>
        <v>0</v>
      </c>
      <c r="I56" s="37"/>
    </row>
    <row r="57" spans="1:9" x14ac:dyDescent="0.25">
      <c r="A57" t="s">
        <v>106</v>
      </c>
      <c r="B57" s="30">
        <v>42</v>
      </c>
      <c r="C57" s="31">
        <v>0</v>
      </c>
      <c r="D57" s="32">
        <v>0</v>
      </c>
      <c r="E57" s="33">
        <v>0</v>
      </c>
      <c r="F57" s="34">
        <f t="shared" si="0"/>
        <v>6</v>
      </c>
      <c r="G57" s="35">
        <v>600</v>
      </c>
      <c r="H57" s="36">
        <f t="shared" si="1"/>
        <v>3600</v>
      </c>
      <c r="I57" s="37">
        <v>36</v>
      </c>
    </row>
    <row r="58" spans="1:9" x14ac:dyDescent="0.25">
      <c r="A58" t="s">
        <v>23</v>
      </c>
      <c r="B58" s="30">
        <v>8</v>
      </c>
      <c r="C58" s="31">
        <v>0</v>
      </c>
      <c r="D58" s="32">
        <v>0</v>
      </c>
      <c r="E58" s="33">
        <v>0</v>
      </c>
      <c r="F58" s="34">
        <f t="shared" si="0"/>
        <v>0</v>
      </c>
      <c r="G58" s="35">
        <v>1500</v>
      </c>
      <c r="H58" s="36">
        <f t="shared" si="1"/>
        <v>0</v>
      </c>
      <c r="I58" s="37">
        <v>8</v>
      </c>
    </row>
    <row r="59" spans="1:9" x14ac:dyDescent="0.25">
      <c r="A59" t="s">
        <v>26</v>
      </c>
      <c r="B59" s="30">
        <v>7</v>
      </c>
      <c r="C59" s="31">
        <v>0</v>
      </c>
      <c r="D59" s="32">
        <v>0</v>
      </c>
      <c r="E59" s="33">
        <v>0</v>
      </c>
      <c r="F59" s="34">
        <f t="shared" si="0"/>
        <v>1</v>
      </c>
      <c r="G59" s="35">
        <v>1000</v>
      </c>
      <c r="H59" s="36">
        <f t="shared" si="1"/>
        <v>1000</v>
      </c>
      <c r="I59" s="37">
        <v>6</v>
      </c>
    </row>
    <row r="60" spans="1:9" x14ac:dyDescent="0.25">
      <c r="A60" t="s">
        <v>72</v>
      </c>
      <c r="B60" s="30">
        <v>7</v>
      </c>
      <c r="C60" s="31">
        <v>0</v>
      </c>
      <c r="D60" s="32">
        <v>0</v>
      </c>
      <c r="E60" s="33">
        <v>0</v>
      </c>
      <c r="F60" s="34">
        <f t="shared" si="0"/>
        <v>0</v>
      </c>
      <c r="G60" s="35">
        <v>1050</v>
      </c>
      <c r="H60" s="36">
        <f t="shared" si="1"/>
        <v>0</v>
      </c>
      <c r="I60" s="37">
        <v>7</v>
      </c>
    </row>
    <row r="61" spans="1:9" x14ac:dyDescent="0.25">
      <c r="A61" t="s">
        <v>132</v>
      </c>
      <c r="B61" s="38">
        <v>0</v>
      </c>
      <c r="C61" s="31">
        <v>9</v>
      </c>
      <c r="D61" s="32">
        <v>0</v>
      </c>
      <c r="E61" s="33">
        <v>0</v>
      </c>
      <c r="F61" s="34">
        <f t="shared" si="0"/>
        <v>1</v>
      </c>
      <c r="G61" s="35">
        <v>1800</v>
      </c>
      <c r="H61" s="36">
        <f t="shared" si="1"/>
        <v>1800</v>
      </c>
      <c r="I61" s="37">
        <v>8</v>
      </c>
    </row>
    <row r="62" spans="1:9" x14ac:dyDescent="0.25">
      <c r="A62" t="s">
        <v>3</v>
      </c>
      <c r="B62" s="30">
        <v>22</v>
      </c>
      <c r="C62" s="31">
        <v>0</v>
      </c>
      <c r="D62" s="32">
        <v>0</v>
      </c>
      <c r="E62" s="33">
        <v>0</v>
      </c>
      <c r="F62" s="34">
        <f t="shared" si="0"/>
        <v>5</v>
      </c>
      <c r="G62" s="35">
        <v>550</v>
      </c>
      <c r="H62" s="36">
        <f t="shared" si="1"/>
        <v>2750</v>
      </c>
      <c r="I62" s="37">
        <v>17</v>
      </c>
    </row>
    <row r="63" spans="1:9" x14ac:dyDescent="0.25">
      <c r="A63" t="s">
        <v>68</v>
      </c>
      <c r="B63" s="30">
        <v>53</v>
      </c>
      <c r="C63" s="31">
        <v>0</v>
      </c>
      <c r="D63" s="32">
        <v>0</v>
      </c>
      <c r="E63" s="33">
        <v>0</v>
      </c>
      <c r="F63" s="34">
        <f t="shared" si="0"/>
        <v>7</v>
      </c>
      <c r="G63" s="35">
        <v>80</v>
      </c>
      <c r="H63" s="36">
        <f t="shared" si="1"/>
        <v>560</v>
      </c>
      <c r="I63" s="37">
        <v>46</v>
      </c>
    </row>
    <row r="64" spans="1:9" x14ac:dyDescent="0.25">
      <c r="A64" t="s">
        <v>101</v>
      </c>
      <c r="B64" s="30">
        <v>19</v>
      </c>
      <c r="C64" s="31">
        <v>0</v>
      </c>
      <c r="D64" s="32">
        <v>0</v>
      </c>
      <c r="E64" s="33">
        <v>0</v>
      </c>
      <c r="F64" s="34">
        <f t="shared" si="0"/>
        <v>0</v>
      </c>
      <c r="G64" s="35">
        <v>850</v>
      </c>
      <c r="H64" s="36">
        <f t="shared" si="1"/>
        <v>0</v>
      </c>
      <c r="I64" s="37">
        <v>19</v>
      </c>
    </row>
    <row r="65" spans="1:19" x14ac:dyDescent="0.25">
      <c r="A65" t="s">
        <v>102</v>
      </c>
      <c r="B65" s="30">
        <v>11</v>
      </c>
      <c r="C65" s="31">
        <v>0</v>
      </c>
      <c r="D65" s="32">
        <v>0</v>
      </c>
      <c r="E65" s="33">
        <v>0</v>
      </c>
      <c r="F65" s="34">
        <f t="shared" si="0"/>
        <v>0</v>
      </c>
      <c r="G65" s="35">
        <v>1200</v>
      </c>
      <c r="H65" s="36">
        <f t="shared" si="1"/>
        <v>0</v>
      </c>
      <c r="I65" s="37">
        <v>11</v>
      </c>
    </row>
    <row r="66" spans="1:19" x14ac:dyDescent="0.25">
      <c r="A66" t="s">
        <v>20</v>
      </c>
      <c r="B66" s="30">
        <v>7</v>
      </c>
      <c r="C66" s="31">
        <v>0</v>
      </c>
      <c r="D66" s="32">
        <v>0</v>
      </c>
      <c r="E66" s="33">
        <v>0</v>
      </c>
      <c r="F66" s="34">
        <f t="shared" si="0"/>
        <v>1</v>
      </c>
      <c r="G66" s="35">
        <v>1250</v>
      </c>
      <c r="H66" s="36">
        <f t="shared" si="1"/>
        <v>1250</v>
      </c>
      <c r="I66" s="37">
        <v>6</v>
      </c>
    </row>
    <row r="67" spans="1:19" x14ac:dyDescent="0.25">
      <c r="A67" t="s">
        <v>120</v>
      </c>
      <c r="B67" s="30">
        <v>11</v>
      </c>
      <c r="C67" s="31">
        <v>0</v>
      </c>
      <c r="D67" s="32">
        <v>0</v>
      </c>
      <c r="E67" s="33">
        <v>0</v>
      </c>
      <c r="F67" s="34">
        <f t="shared" si="0"/>
        <v>0</v>
      </c>
      <c r="G67" s="35">
        <v>1600</v>
      </c>
      <c r="H67" s="36">
        <f t="shared" si="1"/>
        <v>0</v>
      </c>
      <c r="I67" s="37">
        <v>11</v>
      </c>
    </row>
    <row r="68" spans="1:19" x14ac:dyDescent="0.25">
      <c r="A68" t="s">
        <v>59</v>
      </c>
      <c r="B68" s="30">
        <v>19</v>
      </c>
      <c r="C68" s="31">
        <v>0</v>
      </c>
      <c r="D68" s="32">
        <v>0</v>
      </c>
      <c r="E68" s="33">
        <v>0</v>
      </c>
      <c r="F68" s="34">
        <f t="shared" ref="F68:F108" si="2">B68+C68-I68</f>
        <v>0</v>
      </c>
      <c r="G68" s="35">
        <v>180</v>
      </c>
      <c r="H68" s="36">
        <f t="shared" si="1"/>
        <v>0</v>
      </c>
      <c r="I68" s="37">
        <v>19</v>
      </c>
    </row>
    <row r="69" spans="1:19" x14ac:dyDescent="0.25">
      <c r="A69" t="s">
        <v>52</v>
      </c>
      <c r="B69" s="30">
        <v>19</v>
      </c>
      <c r="C69" s="31">
        <v>0</v>
      </c>
      <c r="D69" s="32">
        <v>0</v>
      </c>
      <c r="E69" s="33">
        <v>0</v>
      </c>
      <c r="F69" s="34">
        <f t="shared" si="2"/>
        <v>1</v>
      </c>
      <c r="G69" s="35">
        <v>200</v>
      </c>
      <c r="H69" s="36">
        <f t="shared" si="1"/>
        <v>200</v>
      </c>
      <c r="I69" s="37">
        <v>18</v>
      </c>
    </row>
    <row r="70" spans="1:19" x14ac:dyDescent="0.25">
      <c r="A70" t="s">
        <v>49</v>
      </c>
      <c r="B70" s="30">
        <v>40</v>
      </c>
      <c r="C70" s="31">
        <v>0</v>
      </c>
      <c r="D70" s="32">
        <v>0</v>
      </c>
      <c r="E70" s="33">
        <v>0</v>
      </c>
      <c r="F70" s="34">
        <f t="shared" si="2"/>
        <v>4</v>
      </c>
      <c r="G70" s="35">
        <v>200</v>
      </c>
      <c r="H70" s="36">
        <f t="shared" si="1"/>
        <v>800</v>
      </c>
      <c r="I70" s="37">
        <v>36</v>
      </c>
    </row>
    <row r="71" spans="1:19" x14ac:dyDescent="0.25">
      <c r="A71" t="s">
        <v>58</v>
      </c>
      <c r="B71" s="30">
        <v>19</v>
      </c>
      <c r="C71" s="31">
        <v>0</v>
      </c>
      <c r="D71" s="32">
        <v>0</v>
      </c>
      <c r="E71" s="33">
        <v>0</v>
      </c>
      <c r="F71" s="34">
        <f t="shared" si="2"/>
        <v>0</v>
      </c>
      <c r="G71" s="35">
        <v>160</v>
      </c>
      <c r="H71" s="36">
        <f t="shared" si="1"/>
        <v>0</v>
      </c>
      <c r="I71" s="37">
        <v>19</v>
      </c>
    </row>
    <row r="72" spans="1:19" x14ac:dyDescent="0.25">
      <c r="A72" t="s">
        <v>50</v>
      </c>
      <c r="B72" s="30">
        <v>5</v>
      </c>
      <c r="C72" s="31">
        <v>0</v>
      </c>
      <c r="D72" s="32">
        <v>0</v>
      </c>
      <c r="E72" s="33">
        <v>0</v>
      </c>
      <c r="F72" s="34">
        <f t="shared" si="2"/>
        <v>2</v>
      </c>
      <c r="G72" s="35">
        <v>200</v>
      </c>
      <c r="H72" s="36">
        <f t="shared" si="1"/>
        <v>400</v>
      </c>
      <c r="I72" s="37">
        <v>3</v>
      </c>
    </row>
    <row r="73" spans="1:19" x14ac:dyDescent="0.25">
      <c r="A73" t="s">
        <v>51</v>
      </c>
      <c r="B73" s="30">
        <v>10</v>
      </c>
      <c r="C73" s="31">
        <v>0</v>
      </c>
      <c r="D73" s="32">
        <v>0</v>
      </c>
      <c r="E73" s="33">
        <v>0</v>
      </c>
      <c r="F73" s="34">
        <f t="shared" si="2"/>
        <v>2</v>
      </c>
      <c r="G73" s="35">
        <v>200</v>
      </c>
      <c r="H73" s="36">
        <f t="shared" si="1"/>
        <v>400</v>
      </c>
      <c r="I73" s="37">
        <v>8</v>
      </c>
    </row>
    <row r="74" spans="1:19" x14ac:dyDescent="0.25">
      <c r="A74" t="s">
        <v>44</v>
      </c>
      <c r="B74" s="30">
        <v>5</v>
      </c>
      <c r="C74" s="31">
        <v>9</v>
      </c>
      <c r="D74" s="32">
        <v>0</v>
      </c>
      <c r="E74" s="33">
        <v>0</v>
      </c>
      <c r="F74" s="34">
        <f t="shared" si="2"/>
        <v>4</v>
      </c>
      <c r="G74" s="35">
        <v>800</v>
      </c>
      <c r="H74" s="36">
        <f t="shared" si="1"/>
        <v>3200</v>
      </c>
      <c r="I74" s="37">
        <v>10</v>
      </c>
    </row>
    <row r="75" spans="1:19" x14ac:dyDescent="0.25">
      <c r="A75" t="s">
        <v>107</v>
      </c>
      <c r="B75" s="30">
        <v>6</v>
      </c>
      <c r="C75" s="31">
        <v>0</v>
      </c>
      <c r="D75" s="32">
        <v>0</v>
      </c>
      <c r="E75" s="33">
        <v>0</v>
      </c>
      <c r="F75" s="34">
        <f t="shared" si="2"/>
        <v>0</v>
      </c>
      <c r="G75" s="35">
        <v>220</v>
      </c>
      <c r="H75" s="36">
        <f t="shared" si="1"/>
        <v>0</v>
      </c>
      <c r="I75" s="37">
        <v>6</v>
      </c>
    </row>
    <row r="76" spans="1:19" x14ac:dyDescent="0.25">
      <c r="A76" t="s">
        <v>34</v>
      </c>
      <c r="B76" s="38">
        <v>0</v>
      </c>
      <c r="C76" s="31">
        <v>0</v>
      </c>
      <c r="D76" s="32">
        <v>0</v>
      </c>
      <c r="E76" s="33">
        <v>0</v>
      </c>
      <c r="F76" s="34">
        <f t="shared" si="2"/>
        <v>0</v>
      </c>
      <c r="G76" s="35">
        <v>2300</v>
      </c>
      <c r="H76" s="36">
        <f t="shared" si="1"/>
        <v>0</v>
      </c>
      <c r="I76" s="37"/>
    </row>
    <row r="77" spans="1:19" x14ac:dyDescent="0.25">
      <c r="A77" t="s">
        <v>35</v>
      </c>
      <c r="B77" s="38">
        <v>0</v>
      </c>
      <c r="C77" s="31">
        <v>0</v>
      </c>
      <c r="D77" s="32">
        <v>0</v>
      </c>
      <c r="E77" s="33">
        <v>0</v>
      </c>
      <c r="F77" s="34">
        <f t="shared" si="2"/>
        <v>0</v>
      </c>
      <c r="G77" s="35">
        <v>2320</v>
      </c>
      <c r="H77" s="36">
        <f t="shared" ref="H77:H108" si="3">F77*G77</f>
        <v>0</v>
      </c>
      <c r="I77" s="37"/>
    </row>
    <row r="78" spans="1:19" x14ac:dyDescent="0.25">
      <c r="A78" t="s">
        <v>24</v>
      </c>
      <c r="B78" s="30">
        <v>6</v>
      </c>
      <c r="C78" s="31">
        <v>0</v>
      </c>
      <c r="D78" s="32">
        <v>0</v>
      </c>
      <c r="E78" s="33">
        <v>0</v>
      </c>
      <c r="F78" s="34">
        <f t="shared" si="2"/>
        <v>0</v>
      </c>
      <c r="G78" s="35">
        <v>2900</v>
      </c>
      <c r="H78" s="36">
        <f t="shared" si="3"/>
        <v>0</v>
      </c>
      <c r="I78" s="37">
        <v>6</v>
      </c>
    </row>
    <row r="79" spans="1:19" x14ac:dyDescent="0.25">
      <c r="A79" t="s">
        <v>113</v>
      </c>
      <c r="B79" s="30">
        <v>15</v>
      </c>
      <c r="C79" s="31">
        <v>0</v>
      </c>
      <c r="D79" s="32">
        <v>0</v>
      </c>
      <c r="E79" s="33">
        <v>0</v>
      </c>
      <c r="F79" s="34">
        <f t="shared" si="2"/>
        <v>0</v>
      </c>
      <c r="G79" s="35">
        <v>850</v>
      </c>
      <c r="H79" s="36">
        <f t="shared" si="3"/>
        <v>0</v>
      </c>
      <c r="I79" s="37">
        <v>15</v>
      </c>
    </row>
    <row r="80" spans="1:19" x14ac:dyDescent="0.25">
      <c r="A80" t="s">
        <v>31</v>
      </c>
      <c r="B80" s="30">
        <v>37</v>
      </c>
      <c r="C80" s="31">
        <v>0</v>
      </c>
      <c r="D80" s="32">
        <v>0</v>
      </c>
      <c r="E80" s="33">
        <v>0</v>
      </c>
      <c r="F80" s="34">
        <f t="shared" si="2"/>
        <v>4</v>
      </c>
      <c r="G80" s="35">
        <v>550</v>
      </c>
      <c r="H80" s="36">
        <f t="shared" si="3"/>
        <v>2200</v>
      </c>
      <c r="I80" s="37">
        <v>33</v>
      </c>
      <c r="L80" s="3"/>
      <c r="M80" s="3"/>
      <c r="N80" s="3"/>
      <c r="O80" s="3"/>
      <c r="P80" s="5"/>
      <c r="Q80" s="3"/>
      <c r="R80" s="3"/>
      <c r="S80" s="3"/>
    </row>
    <row r="81" spans="1:9" x14ac:dyDescent="0.25">
      <c r="A81" t="s">
        <v>46</v>
      </c>
      <c r="B81" s="38">
        <v>0</v>
      </c>
      <c r="C81" s="31">
        <v>0</v>
      </c>
      <c r="D81" s="32">
        <v>0</v>
      </c>
      <c r="E81" s="33">
        <v>0</v>
      </c>
      <c r="F81" s="34">
        <f t="shared" si="2"/>
        <v>0</v>
      </c>
      <c r="G81" s="35">
        <v>300</v>
      </c>
      <c r="H81" s="36">
        <f t="shared" si="3"/>
        <v>0</v>
      </c>
      <c r="I81" s="37"/>
    </row>
    <row r="82" spans="1:9" x14ac:dyDescent="0.25">
      <c r="A82" t="s">
        <v>111</v>
      </c>
      <c r="B82" s="38">
        <v>0</v>
      </c>
      <c r="C82" s="31">
        <v>0</v>
      </c>
      <c r="D82" s="32">
        <v>0</v>
      </c>
      <c r="E82" s="33">
        <v>0</v>
      </c>
      <c r="F82" s="34">
        <f t="shared" si="2"/>
        <v>0</v>
      </c>
      <c r="G82" s="35">
        <v>300</v>
      </c>
      <c r="H82" s="36">
        <f t="shared" si="3"/>
        <v>0</v>
      </c>
      <c r="I82" s="37"/>
    </row>
    <row r="83" spans="1:9" x14ac:dyDescent="0.25">
      <c r="A83" t="s">
        <v>55</v>
      </c>
      <c r="B83" s="30">
        <v>3</v>
      </c>
      <c r="C83" s="31">
        <v>0</v>
      </c>
      <c r="D83" s="32">
        <v>0</v>
      </c>
      <c r="E83" s="33">
        <v>0</v>
      </c>
      <c r="F83" s="34">
        <f t="shared" si="2"/>
        <v>0</v>
      </c>
      <c r="G83" s="35">
        <v>150</v>
      </c>
      <c r="H83" s="36">
        <f t="shared" si="3"/>
        <v>0</v>
      </c>
      <c r="I83" s="37">
        <v>3</v>
      </c>
    </row>
    <row r="84" spans="1:9" x14ac:dyDescent="0.25">
      <c r="A84" t="s">
        <v>54</v>
      </c>
      <c r="B84" s="30">
        <v>16</v>
      </c>
      <c r="C84" s="31">
        <v>0</v>
      </c>
      <c r="D84" s="32">
        <v>0</v>
      </c>
      <c r="E84" s="33">
        <v>0</v>
      </c>
      <c r="F84" s="34">
        <f t="shared" si="2"/>
        <v>0</v>
      </c>
      <c r="G84" s="35">
        <v>200</v>
      </c>
      <c r="H84" s="36">
        <f t="shared" si="3"/>
        <v>0</v>
      </c>
      <c r="I84" s="37">
        <v>16</v>
      </c>
    </row>
    <row r="85" spans="1:9" x14ac:dyDescent="0.25">
      <c r="A85" t="s">
        <v>56</v>
      </c>
      <c r="B85" s="30">
        <v>21</v>
      </c>
      <c r="C85" s="31">
        <v>0</v>
      </c>
      <c r="D85" s="32">
        <v>0</v>
      </c>
      <c r="E85" s="33">
        <v>0</v>
      </c>
      <c r="F85" s="34">
        <f t="shared" si="2"/>
        <v>0</v>
      </c>
      <c r="G85" s="35">
        <v>150</v>
      </c>
      <c r="H85" s="36">
        <f t="shared" si="3"/>
        <v>0</v>
      </c>
      <c r="I85" s="37">
        <v>21</v>
      </c>
    </row>
    <row r="86" spans="1:9" x14ac:dyDescent="0.25">
      <c r="A86" t="s">
        <v>53</v>
      </c>
      <c r="B86" s="30">
        <v>23</v>
      </c>
      <c r="C86" s="31">
        <v>0</v>
      </c>
      <c r="D86" s="32">
        <v>0</v>
      </c>
      <c r="E86" s="33">
        <v>0</v>
      </c>
      <c r="F86" s="34">
        <f t="shared" si="2"/>
        <v>0</v>
      </c>
      <c r="G86" s="35">
        <v>160</v>
      </c>
      <c r="H86" s="36">
        <f t="shared" si="3"/>
        <v>0</v>
      </c>
      <c r="I86" s="37">
        <v>23</v>
      </c>
    </row>
    <row r="87" spans="1:9" x14ac:dyDescent="0.25">
      <c r="A87" t="s">
        <v>57</v>
      </c>
      <c r="B87" s="30">
        <v>3</v>
      </c>
      <c r="C87" s="31">
        <v>0</v>
      </c>
      <c r="D87" s="32">
        <v>0</v>
      </c>
      <c r="E87" s="33">
        <v>0</v>
      </c>
      <c r="F87" s="34">
        <f t="shared" si="2"/>
        <v>0</v>
      </c>
      <c r="G87" s="35">
        <v>220</v>
      </c>
      <c r="H87" s="36">
        <f t="shared" si="3"/>
        <v>0</v>
      </c>
      <c r="I87" s="37">
        <v>3</v>
      </c>
    </row>
    <row r="88" spans="1:9" x14ac:dyDescent="0.25">
      <c r="A88" t="s">
        <v>63</v>
      </c>
      <c r="B88" s="30">
        <v>20</v>
      </c>
      <c r="C88" s="31">
        <v>0</v>
      </c>
      <c r="D88" s="32">
        <v>0</v>
      </c>
      <c r="E88" s="33">
        <v>0</v>
      </c>
      <c r="F88" s="34">
        <f t="shared" si="2"/>
        <v>0</v>
      </c>
      <c r="G88" s="35">
        <v>850</v>
      </c>
      <c r="H88" s="36">
        <f t="shared" si="3"/>
        <v>0</v>
      </c>
      <c r="I88" s="37">
        <v>20</v>
      </c>
    </row>
    <row r="89" spans="1:9" x14ac:dyDescent="0.25">
      <c r="A89" t="s">
        <v>64</v>
      </c>
      <c r="B89" s="38">
        <v>0</v>
      </c>
      <c r="C89" s="31">
        <v>0</v>
      </c>
      <c r="D89" s="32">
        <v>0</v>
      </c>
      <c r="E89" s="33">
        <v>0</v>
      </c>
      <c r="F89" s="34">
        <f t="shared" si="2"/>
        <v>0</v>
      </c>
      <c r="G89" s="35">
        <v>0</v>
      </c>
      <c r="H89" s="36">
        <f t="shared" si="3"/>
        <v>0</v>
      </c>
      <c r="I89" s="37"/>
    </row>
    <row r="90" spans="1:9" x14ac:dyDescent="0.25">
      <c r="A90" t="s">
        <v>74</v>
      </c>
      <c r="B90" s="38">
        <v>0</v>
      </c>
      <c r="C90" s="31">
        <v>0</v>
      </c>
      <c r="D90" s="32">
        <v>0</v>
      </c>
      <c r="E90" s="33">
        <v>0</v>
      </c>
      <c r="F90" s="34">
        <f t="shared" si="2"/>
        <v>0</v>
      </c>
      <c r="G90" s="35">
        <v>950</v>
      </c>
      <c r="H90" s="36">
        <f t="shared" si="3"/>
        <v>0</v>
      </c>
      <c r="I90" s="37"/>
    </row>
    <row r="91" spans="1:9" x14ac:dyDescent="0.25">
      <c r="A91" t="s">
        <v>96</v>
      </c>
      <c r="B91" s="44">
        <v>25.43</v>
      </c>
      <c r="C91" s="31">
        <v>0</v>
      </c>
      <c r="D91" s="32">
        <v>0</v>
      </c>
      <c r="E91" s="33">
        <v>0</v>
      </c>
      <c r="F91" s="34">
        <f>B91+C91-I91</f>
        <v>3.2199999999999989</v>
      </c>
      <c r="G91" s="35">
        <v>1000</v>
      </c>
      <c r="H91" s="36">
        <f t="shared" si="3"/>
        <v>3219.9999999999991</v>
      </c>
      <c r="I91" s="37">
        <v>22.21</v>
      </c>
    </row>
    <row r="92" spans="1:9" x14ac:dyDescent="0.25">
      <c r="A92" t="s">
        <v>129</v>
      </c>
      <c r="B92" s="30">
        <v>7</v>
      </c>
      <c r="C92" s="31">
        <v>7</v>
      </c>
      <c r="D92" s="32">
        <v>0</v>
      </c>
      <c r="E92" s="33">
        <v>0</v>
      </c>
      <c r="F92" s="34">
        <f t="shared" si="2"/>
        <v>5</v>
      </c>
      <c r="G92" s="35">
        <v>1000</v>
      </c>
      <c r="H92" s="36">
        <f t="shared" si="3"/>
        <v>5000</v>
      </c>
      <c r="I92" s="37">
        <v>9</v>
      </c>
    </row>
    <row r="93" spans="1:9" x14ac:dyDescent="0.25">
      <c r="A93" t="s">
        <v>128</v>
      </c>
      <c r="B93" s="30">
        <v>24</v>
      </c>
      <c r="C93" s="31">
        <v>0</v>
      </c>
      <c r="D93" s="32">
        <v>0</v>
      </c>
      <c r="E93" s="33">
        <v>0</v>
      </c>
      <c r="F93" s="34">
        <f t="shared" si="2"/>
        <v>3</v>
      </c>
      <c r="G93" s="35">
        <v>580</v>
      </c>
      <c r="H93" s="36">
        <f t="shared" si="3"/>
        <v>1740</v>
      </c>
      <c r="I93" s="37">
        <v>21</v>
      </c>
    </row>
    <row r="94" spans="1:9" x14ac:dyDescent="0.25">
      <c r="A94" t="s">
        <v>127</v>
      </c>
      <c r="B94" s="30">
        <v>94</v>
      </c>
      <c r="C94" s="31">
        <v>0</v>
      </c>
      <c r="D94" s="32">
        <v>0</v>
      </c>
      <c r="E94" s="33">
        <v>0</v>
      </c>
      <c r="F94" s="34">
        <f t="shared" si="2"/>
        <v>12</v>
      </c>
      <c r="G94" s="35">
        <v>220</v>
      </c>
      <c r="H94" s="36">
        <f t="shared" si="3"/>
        <v>2640</v>
      </c>
      <c r="I94" s="37">
        <v>82</v>
      </c>
    </row>
    <row r="95" spans="1:9" x14ac:dyDescent="0.25">
      <c r="A95" t="s">
        <v>112</v>
      </c>
      <c r="B95" s="38">
        <v>0</v>
      </c>
      <c r="C95" s="31">
        <v>0</v>
      </c>
      <c r="D95" s="32">
        <v>0</v>
      </c>
      <c r="E95" s="33">
        <v>0</v>
      </c>
      <c r="F95" s="34">
        <f t="shared" si="2"/>
        <v>0</v>
      </c>
      <c r="G95" s="35">
        <v>1300</v>
      </c>
      <c r="H95" s="36">
        <f t="shared" si="3"/>
        <v>0</v>
      </c>
      <c r="I95" s="37"/>
    </row>
    <row r="96" spans="1:9" x14ac:dyDescent="0.25">
      <c r="A96" t="s">
        <v>2</v>
      </c>
      <c r="B96" s="30">
        <v>33</v>
      </c>
      <c r="C96" s="31">
        <v>0</v>
      </c>
      <c r="D96" s="32">
        <v>0</v>
      </c>
      <c r="E96" s="33">
        <v>0</v>
      </c>
      <c r="F96" s="34">
        <f t="shared" si="2"/>
        <v>6</v>
      </c>
      <c r="G96" s="35">
        <v>580</v>
      </c>
      <c r="H96" s="36">
        <f t="shared" si="3"/>
        <v>3480</v>
      </c>
      <c r="I96" s="37">
        <v>27</v>
      </c>
    </row>
    <row r="97" spans="1:9" x14ac:dyDescent="0.25">
      <c r="A97" t="s">
        <v>104</v>
      </c>
      <c r="B97" s="30">
        <v>5</v>
      </c>
      <c r="C97" s="31">
        <v>9</v>
      </c>
      <c r="D97" s="32">
        <v>0</v>
      </c>
      <c r="E97" s="33">
        <v>0</v>
      </c>
      <c r="F97" s="34">
        <f t="shared" si="2"/>
        <v>7</v>
      </c>
      <c r="G97" s="35">
        <v>1000</v>
      </c>
      <c r="H97" s="36">
        <f t="shared" si="3"/>
        <v>7000</v>
      </c>
      <c r="I97" s="37">
        <v>7</v>
      </c>
    </row>
    <row r="98" spans="1:9" x14ac:dyDescent="0.25">
      <c r="A98" t="s">
        <v>45</v>
      </c>
      <c r="B98" s="30">
        <v>19</v>
      </c>
      <c r="C98" s="31">
        <v>0</v>
      </c>
      <c r="D98" s="32">
        <v>0</v>
      </c>
      <c r="E98" s="33">
        <v>0</v>
      </c>
      <c r="F98" s="34">
        <f t="shared" si="2"/>
        <v>1</v>
      </c>
      <c r="G98" s="35">
        <v>70</v>
      </c>
      <c r="H98" s="36">
        <f t="shared" si="3"/>
        <v>70</v>
      </c>
      <c r="I98" s="37">
        <v>18</v>
      </c>
    </row>
    <row r="99" spans="1:9" x14ac:dyDescent="0.25">
      <c r="A99" t="s">
        <v>119</v>
      </c>
      <c r="B99" s="30">
        <v>24</v>
      </c>
      <c r="C99" s="31">
        <v>0</v>
      </c>
      <c r="D99" s="32">
        <v>0</v>
      </c>
      <c r="E99" s="33">
        <v>0</v>
      </c>
      <c r="F99" s="34">
        <f t="shared" si="2"/>
        <v>2</v>
      </c>
      <c r="G99" s="35">
        <v>850</v>
      </c>
      <c r="H99" s="36">
        <f t="shared" si="3"/>
        <v>1700</v>
      </c>
      <c r="I99" s="37">
        <v>22</v>
      </c>
    </row>
    <row r="100" spans="1:9" x14ac:dyDescent="0.25">
      <c r="A100" t="s">
        <v>1</v>
      </c>
      <c r="B100" s="30">
        <v>3</v>
      </c>
      <c r="C100" s="31">
        <v>0</v>
      </c>
      <c r="D100" s="32">
        <v>0</v>
      </c>
      <c r="E100" s="33">
        <v>0</v>
      </c>
      <c r="F100" s="34">
        <f t="shared" si="2"/>
        <v>0</v>
      </c>
      <c r="G100" s="35">
        <v>850</v>
      </c>
      <c r="H100" s="36">
        <f t="shared" si="3"/>
        <v>0</v>
      </c>
      <c r="I100" s="37">
        <v>3</v>
      </c>
    </row>
    <row r="101" spans="1:9" x14ac:dyDescent="0.25">
      <c r="A101" t="s">
        <v>27</v>
      </c>
      <c r="B101" s="30">
        <v>15</v>
      </c>
      <c r="C101" s="31">
        <v>0</v>
      </c>
      <c r="D101" s="32">
        <v>0</v>
      </c>
      <c r="E101" s="33">
        <v>0</v>
      </c>
      <c r="F101" s="34">
        <f t="shared" si="2"/>
        <v>1</v>
      </c>
      <c r="G101" s="35">
        <v>350</v>
      </c>
      <c r="H101" s="36">
        <f t="shared" si="3"/>
        <v>350</v>
      </c>
      <c r="I101" s="37">
        <v>14</v>
      </c>
    </row>
    <row r="102" spans="1:9" x14ac:dyDescent="0.25">
      <c r="A102" t="s">
        <v>37</v>
      </c>
      <c r="B102" s="30">
        <v>23</v>
      </c>
      <c r="C102" s="31">
        <v>0</v>
      </c>
      <c r="D102" s="32">
        <v>0</v>
      </c>
      <c r="E102" s="33">
        <v>0</v>
      </c>
      <c r="F102" s="34">
        <f t="shared" si="2"/>
        <v>1</v>
      </c>
      <c r="G102" s="35">
        <v>380</v>
      </c>
      <c r="H102" s="36">
        <f t="shared" si="3"/>
        <v>380</v>
      </c>
      <c r="I102" s="37">
        <v>22</v>
      </c>
    </row>
    <row r="103" spans="1:9" x14ac:dyDescent="0.25">
      <c r="A103" t="s">
        <v>100</v>
      </c>
      <c r="B103" s="30">
        <v>23</v>
      </c>
      <c r="C103" s="31">
        <v>0</v>
      </c>
      <c r="D103" s="32">
        <v>0</v>
      </c>
      <c r="E103" s="33">
        <v>0</v>
      </c>
      <c r="F103" s="34">
        <f t="shared" si="2"/>
        <v>4</v>
      </c>
      <c r="G103" s="35">
        <v>400</v>
      </c>
      <c r="H103" s="36">
        <f t="shared" si="3"/>
        <v>1600</v>
      </c>
      <c r="I103" s="37">
        <v>19</v>
      </c>
    </row>
    <row r="104" spans="1:9" x14ac:dyDescent="0.25">
      <c r="A104" t="s">
        <v>80</v>
      </c>
      <c r="B104" s="30">
        <v>12</v>
      </c>
      <c r="C104" s="31">
        <v>0</v>
      </c>
      <c r="D104" s="32">
        <v>0</v>
      </c>
      <c r="E104" s="33">
        <v>0</v>
      </c>
      <c r="F104" s="34">
        <f t="shared" si="2"/>
        <v>0</v>
      </c>
      <c r="G104" s="35">
        <v>1850</v>
      </c>
      <c r="H104" s="36">
        <f t="shared" si="3"/>
        <v>0</v>
      </c>
      <c r="I104" s="37">
        <v>12</v>
      </c>
    </row>
    <row r="105" spans="1:9" x14ac:dyDescent="0.25">
      <c r="A105" t="s">
        <v>79</v>
      </c>
      <c r="B105" s="30">
        <v>8</v>
      </c>
      <c r="C105" s="31">
        <v>0</v>
      </c>
      <c r="D105" s="32">
        <v>0</v>
      </c>
      <c r="E105" s="33">
        <v>0</v>
      </c>
      <c r="F105" s="34">
        <f t="shared" si="2"/>
        <v>1</v>
      </c>
      <c r="G105" s="35">
        <v>950</v>
      </c>
      <c r="H105" s="36">
        <f t="shared" si="3"/>
        <v>950</v>
      </c>
      <c r="I105" s="37">
        <v>7</v>
      </c>
    </row>
    <row r="106" spans="1:9" x14ac:dyDescent="0.25">
      <c r="A106" t="s">
        <v>39</v>
      </c>
      <c r="B106" s="30">
        <v>18</v>
      </c>
      <c r="C106" s="31">
        <v>0</v>
      </c>
      <c r="D106" s="32">
        <v>0</v>
      </c>
      <c r="E106" s="33">
        <v>0</v>
      </c>
      <c r="F106" s="34">
        <f t="shared" si="2"/>
        <v>0</v>
      </c>
      <c r="G106" s="35">
        <v>650</v>
      </c>
      <c r="H106" s="36">
        <f t="shared" si="3"/>
        <v>0</v>
      </c>
      <c r="I106" s="37">
        <v>18</v>
      </c>
    </row>
    <row r="107" spans="1:9" x14ac:dyDescent="0.25">
      <c r="A107" t="s">
        <v>16</v>
      </c>
      <c r="B107" s="38">
        <v>0</v>
      </c>
      <c r="C107" s="31">
        <v>0</v>
      </c>
      <c r="D107" s="32">
        <v>0</v>
      </c>
      <c r="E107" s="33">
        <v>0</v>
      </c>
      <c r="F107" s="34">
        <f t="shared" si="2"/>
        <v>0</v>
      </c>
      <c r="G107" s="35">
        <v>0</v>
      </c>
      <c r="H107" s="36">
        <f t="shared" si="3"/>
        <v>0</v>
      </c>
      <c r="I107" s="37"/>
    </row>
    <row r="108" spans="1:9" x14ac:dyDescent="0.25">
      <c r="A108" t="s">
        <v>28</v>
      </c>
      <c r="B108" s="30">
        <v>5</v>
      </c>
      <c r="C108" s="31">
        <v>0</v>
      </c>
      <c r="D108" s="32">
        <v>0</v>
      </c>
      <c r="E108" s="33">
        <v>0</v>
      </c>
      <c r="F108" s="34">
        <f t="shared" si="2"/>
        <v>0</v>
      </c>
      <c r="G108" s="35">
        <v>900</v>
      </c>
      <c r="H108" s="36">
        <f t="shared" si="3"/>
        <v>0</v>
      </c>
      <c r="I108" s="37">
        <v>5</v>
      </c>
    </row>
    <row r="110" spans="1:9" ht="21" x14ac:dyDescent="0.35">
      <c r="A110" s="41" t="s">
        <v>83</v>
      </c>
      <c r="B110" s="40">
        <f>SUM(H3:H108)</f>
        <v>95130</v>
      </c>
    </row>
    <row r="111" spans="1:9" x14ac:dyDescent="0.25">
      <c r="B111" s="3"/>
    </row>
    <row r="113" spans="1:1" ht="21" x14ac:dyDescent="0.35">
      <c r="A113" s="42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D508-4AEE-45D2-B073-D6A4127E0510}">
  <dimension ref="A2:S115"/>
  <sheetViews>
    <sheetView topLeftCell="A85" workbookViewId="0">
      <selection activeCell="B96" sqref="B96"/>
    </sheetView>
  </sheetViews>
  <sheetFormatPr baseColWidth="10" defaultRowHeight="15" x14ac:dyDescent="0.25"/>
  <cols>
    <col min="1" max="1" width="27.42578125" customWidth="1"/>
    <col min="2" max="2" width="13.42578125" customWidth="1"/>
  </cols>
  <sheetData>
    <row r="2" spans="1:9" x14ac:dyDescent="0.25">
      <c r="A2" s="1" t="s">
        <v>0</v>
      </c>
      <c r="B2" s="6" t="s">
        <v>84</v>
      </c>
      <c r="C2" s="9" t="s">
        <v>85</v>
      </c>
      <c r="D2" s="24" t="s">
        <v>86</v>
      </c>
      <c r="E2" s="27" t="s">
        <v>87</v>
      </c>
      <c r="F2" s="12" t="s">
        <v>88</v>
      </c>
      <c r="G2" s="21" t="s">
        <v>89</v>
      </c>
      <c r="H2" s="18" t="s">
        <v>90</v>
      </c>
      <c r="I2" s="15" t="s">
        <v>91</v>
      </c>
    </row>
    <row r="3" spans="1:9" x14ac:dyDescent="0.25">
      <c r="A3" t="s">
        <v>62</v>
      </c>
      <c r="B3" s="30">
        <v>2</v>
      </c>
      <c r="C3" s="31">
        <v>4</v>
      </c>
      <c r="D3" s="32">
        <v>0</v>
      </c>
      <c r="E3" s="33">
        <v>0</v>
      </c>
      <c r="F3" s="34">
        <f t="shared" ref="F3:F69" si="0">B3+C3-I3</f>
        <v>0</v>
      </c>
      <c r="G3" s="35">
        <v>3000</v>
      </c>
      <c r="H3" s="36">
        <f t="shared" ref="H3:H78" si="1">F3*G3</f>
        <v>0</v>
      </c>
      <c r="I3" s="37">
        <v>6</v>
      </c>
    </row>
    <row r="4" spans="1:9" x14ac:dyDescent="0.25">
      <c r="A4" t="s">
        <v>78</v>
      </c>
      <c r="B4" s="30">
        <v>12</v>
      </c>
      <c r="C4" s="31">
        <v>0</v>
      </c>
      <c r="D4" s="32">
        <v>0</v>
      </c>
      <c r="E4" s="33">
        <v>0</v>
      </c>
      <c r="F4" s="34">
        <f t="shared" si="0"/>
        <v>0</v>
      </c>
      <c r="G4" s="35">
        <v>2000</v>
      </c>
      <c r="H4" s="36">
        <f t="shared" si="1"/>
        <v>0</v>
      </c>
      <c r="I4" s="37">
        <v>12</v>
      </c>
    </row>
    <row r="5" spans="1:9" x14ac:dyDescent="0.25">
      <c r="A5" t="s">
        <v>14</v>
      </c>
      <c r="B5" s="30">
        <v>4</v>
      </c>
      <c r="C5" s="31">
        <v>0</v>
      </c>
      <c r="D5" s="32">
        <v>0</v>
      </c>
      <c r="E5" s="33">
        <v>0</v>
      </c>
      <c r="F5" s="34">
        <f t="shared" si="0"/>
        <v>0</v>
      </c>
      <c r="G5" s="35">
        <v>500</v>
      </c>
      <c r="H5" s="36">
        <f t="shared" si="1"/>
        <v>0</v>
      </c>
      <c r="I5" s="37">
        <v>4</v>
      </c>
    </row>
    <row r="6" spans="1:9" x14ac:dyDescent="0.25">
      <c r="A6" t="s">
        <v>13</v>
      </c>
      <c r="B6" s="30">
        <v>18</v>
      </c>
      <c r="C6" s="31">
        <v>0</v>
      </c>
      <c r="D6" s="32">
        <v>0</v>
      </c>
      <c r="E6" s="33">
        <v>0</v>
      </c>
      <c r="F6" s="34">
        <f t="shared" si="0"/>
        <v>1</v>
      </c>
      <c r="G6" s="35">
        <v>300</v>
      </c>
      <c r="H6" s="36">
        <f t="shared" si="1"/>
        <v>300</v>
      </c>
      <c r="I6" s="37">
        <v>17</v>
      </c>
    </row>
    <row r="7" spans="1:9" x14ac:dyDescent="0.25">
      <c r="A7" t="s">
        <v>17</v>
      </c>
      <c r="B7" s="30">
        <v>7</v>
      </c>
      <c r="C7" s="31">
        <v>0</v>
      </c>
      <c r="D7" s="32">
        <v>0</v>
      </c>
      <c r="E7" s="33">
        <v>0</v>
      </c>
      <c r="F7" s="34">
        <f t="shared" si="0"/>
        <v>1</v>
      </c>
      <c r="G7" s="35">
        <v>950</v>
      </c>
      <c r="H7" s="36">
        <f t="shared" si="1"/>
        <v>950</v>
      </c>
      <c r="I7" s="37">
        <v>6</v>
      </c>
    </row>
    <row r="8" spans="1:9" x14ac:dyDescent="0.25">
      <c r="A8" t="s">
        <v>30</v>
      </c>
      <c r="B8" s="30">
        <v>24</v>
      </c>
      <c r="C8" s="31">
        <v>0</v>
      </c>
      <c r="D8" s="32">
        <v>0</v>
      </c>
      <c r="E8" s="33">
        <v>0</v>
      </c>
      <c r="F8" s="34">
        <f t="shared" si="0"/>
        <v>5</v>
      </c>
      <c r="G8" s="35">
        <v>800</v>
      </c>
      <c r="H8" s="36">
        <f t="shared" si="1"/>
        <v>4000</v>
      </c>
      <c r="I8" s="37">
        <v>19</v>
      </c>
    </row>
    <row r="9" spans="1:9" x14ac:dyDescent="0.25">
      <c r="A9" t="s">
        <v>73</v>
      </c>
      <c r="B9" s="30">
        <v>8</v>
      </c>
      <c r="C9" s="31">
        <v>0</v>
      </c>
      <c r="D9" s="32">
        <v>0</v>
      </c>
      <c r="E9" s="33">
        <v>0</v>
      </c>
      <c r="F9" s="34">
        <f t="shared" si="0"/>
        <v>0</v>
      </c>
      <c r="G9" s="35">
        <v>1400</v>
      </c>
      <c r="H9" s="36">
        <f t="shared" si="1"/>
        <v>0</v>
      </c>
      <c r="I9" s="37">
        <v>8</v>
      </c>
    </row>
    <row r="10" spans="1:9" x14ac:dyDescent="0.25">
      <c r="A10" t="s">
        <v>19</v>
      </c>
      <c r="B10" s="38"/>
      <c r="C10" s="31">
        <v>0</v>
      </c>
      <c r="D10" s="32">
        <v>0</v>
      </c>
      <c r="E10" s="33">
        <v>0</v>
      </c>
      <c r="F10" s="34">
        <f t="shared" si="0"/>
        <v>0</v>
      </c>
      <c r="G10" s="35">
        <v>1200</v>
      </c>
      <c r="H10" s="36">
        <f t="shared" si="1"/>
        <v>0</v>
      </c>
      <c r="I10" s="37"/>
    </row>
    <row r="11" spans="1:9" x14ac:dyDescent="0.25">
      <c r="A11" t="s">
        <v>22</v>
      </c>
      <c r="B11" s="30">
        <v>11</v>
      </c>
      <c r="C11" s="31">
        <v>0</v>
      </c>
      <c r="D11" s="32">
        <v>0</v>
      </c>
      <c r="E11" s="33">
        <v>0</v>
      </c>
      <c r="F11" s="34">
        <f t="shared" si="0"/>
        <v>0</v>
      </c>
      <c r="G11" s="35">
        <v>1800</v>
      </c>
      <c r="H11" s="36">
        <f t="shared" si="1"/>
        <v>0</v>
      </c>
      <c r="I11" s="37">
        <v>11</v>
      </c>
    </row>
    <row r="12" spans="1:9" x14ac:dyDescent="0.25">
      <c r="A12" t="s">
        <v>103</v>
      </c>
      <c r="B12" s="30">
        <v>0</v>
      </c>
      <c r="C12" s="31">
        <v>0</v>
      </c>
      <c r="D12" s="32">
        <v>0</v>
      </c>
      <c r="E12" s="33">
        <v>0</v>
      </c>
      <c r="F12" s="34">
        <f t="shared" si="0"/>
        <v>0</v>
      </c>
      <c r="G12" s="35">
        <v>600</v>
      </c>
      <c r="H12" s="36">
        <f t="shared" si="1"/>
        <v>0</v>
      </c>
      <c r="I12" s="37"/>
    </row>
    <row r="13" spans="1:9" x14ac:dyDescent="0.25">
      <c r="A13" t="s">
        <v>117</v>
      </c>
      <c r="B13" s="30">
        <v>24</v>
      </c>
      <c r="C13" s="31">
        <v>0</v>
      </c>
      <c r="D13" s="32">
        <v>0</v>
      </c>
      <c r="E13" s="33">
        <v>0</v>
      </c>
      <c r="F13" s="34">
        <f t="shared" si="0"/>
        <v>8</v>
      </c>
      <c r="G13" s="35">
        <v>600</v>
      </c>
      <c r="H13" s="36">
        <f t="shared" si="1"/>
        <v>4800</v>
      </c>
      <c r="I13" s="37">
        <v>16</v>
      </c>
    </row>
    <row r="14" spans="1:9" x14ac:dyDescent="0.25">
      <c r="A14" t="s">
        <v>126</v>
      </c>
      <c r="B14" s="30">
        <v>16</v>
      </c>
      <c r="C14" s="31">
        <v>0</v>
      </c>
      <c r="D14" s="32">
        <v>0</v>
      </c>
      <c r="E14" s="33">
        <v>0</v>
      </c>
      <c r="F14" s="34">
        <f t="shared" si="0"/>
        <v>0</v>
      </c>
      <c r="G14" s="35">
        <v>700</v>
      </c>
      <c r="H14" s="36">
        <f t="shared" si="1"/>
        <v>0</v>
      </c>
      <c r="I14" s="37">
        <v>16</v>
      </c>
    </row>
    <row r="15" spans="1:9" x14ac:dyDescent="0.25">
      <c r="A15" t="s">
        <v>116</v>
      </c>
      <c r="B15" s="30">
        <v>20</v>
      </c>
      <c r="C15" s="31">
        <v>0</v>
      </c>
      <c r="D15" s="32">
        <v>0</v>
      </c>
      <c r="E15" s="33">
        <v>0</v>
      </c>
      <c r="F15" s="34">
        <f t="shared" si="0"/>
        <v>0</v>
      </c>
      <c r="G15" s="35">
        <v>650</v>
      </c>
      <c r="H15" s="36">
        <f t="shared" si="1"/>
        <v>0</v>
      </c>
      <c r="I15" s="37">
        <v>20</v>
      </c>
    </row>
    <row r="16" spans="1:9" x14ac:dyDescent="0.25">
      <c r="A16" t="s">
        <v>118</v>
      </c>
      <c r="B16" s="30">
        <v>17</v>
      </c>
      <c r="C16" s="31">
        <v>0</v>
      </c>
      <c r="D16" s="32">
        <v>0</v>
      </c>
      <c r="E16" s="33">
        <v>0</v>
      </c>
      <c r="F16" s="34">
        <f t="shared" si="0"/>
        <v>6</v>
      </c>
      <c r="G16" s="35">
        <v>600</v>
      </c>
      <c r="H16" s="36">
        <f t="shared" si="1"/>
        <v>3600</v>
      </c>
      <c r="I16" s="37">
        <v>11</v>
      </c>
    </row>
    <row r="17" spans="1:9" x14ac:dyDescent="0.25">
      <c r="A17" t="s">
        <v>10</v>
      </c>
      <c r="B17" s="38"/>
      <c r="C17" s="31">
        <v>0</v>
      </c>
      <c r="D17" s="32">
        <v>0</v>
      </c>
      <c r="E17" s="33">
        <v>0</v>
      </c>
      <c r="F17" s="34">
        <f t="shared" si="0"/>
        <v>0</v>
      </c>
      <c r="G17" s="35">
        <v>550</v>
      </c>
      <c r="H17" s="36">
        <f t="shared" si="1"/>
        <v>0</v>
      </c>
      <c r="I17" s="37"/>
    </row>
    <row r="18" spans="1:9" x14ac:dyDescent="0.25">
      <c r="A18" t="s">
        <v>12</v>
      </c>
      <c r="B18" s="38"/>
      <c r="C18" s="31">
        <v>0</v>
      </c>
      <c r="D18" s="32">
        <v>0</v>
      </c>
      <c r="E18" s="33">
        <v>0</v>
      </c>
      <c r="F18" s="34">
        <f t="shared" si="0"/>
        <v>0</v>
      </c>
      <c r="G18" s="35">
        <v>550</v>
      </c>
      <c r="H18" s="36">
        <f t="shared" si="1"/>
        <v>0</v>
      </c>
      <c r="I18" s="37"/>
    </row>
    <row r="19" spans="1:9" x14ac:dyDescent="0.25">
      <c r="A19" t="s">
        <v>11</v>
      </c>
      <c r="B19" s="38"/>
      <c r="C19" s="31">
        <v>0</v>
      </c>
      <c r="D19" s="32">
        <v>0</v>
      </c>
      <c r="E19" s="33">
        <v>0</v>
      </c>
      <c r="F19" s="34">
        <f t="shared" si="0"/>
        <v>0</v>
      </c>
      <c r="G19" s="35">
        <v>550</v>
      </c>
      <c r="H19" s="36">
        <f t="shared" si="1"/>
        <v>0</v>
      </c>
      <c r="I19" s="37"/>
    </row>
    <row r="20" spans="1:9" x14ac:dyDescent="0.25">
      <c r="A20" t="s">
        <v>29</v>
      </c>
      <c r="B20" s="30">
        <v>3</v>
      </c>
      <c r="C20" s="31">
        <v>0</v>
      </c>
      <c r="D20" s="32">
        <v>0</v>
      </c>
      <c r="E20" s="33">
        <v>0</v>
      </c>
      <c r="F20" s="34">
        <f t="shared" si="0"/>
        <v>0</v>
      </c>
      <c r="G20" s="35">
        <v>1000</v>
      </c>
      <c r="H20" s="36">
        <f t="shared" si="1"/>
        <v>0</v>
      </c>
      <c r="I20" s="37">
        <v>3</v>
      </c>
    </row>
    <row r="21" spans="1:9" x14ac:dyDescent="0.25">
      <c r="A21" t="s">
        <v>69</v>
      </c>
      <c r="B21" s="30">
        <v>1</v>
      </c>
      <c r="C21" s="31">
        <v>0</v>
      </c>
      <c r="D21" s="32">
        <v>0</v>
      </c>
      <c r="E21" s="33">
        <v>0</v>
      </c>
      <c r="F21" s="34">
        <f t="shared" si="0"/>
        <v>1</v>
      </c>
      <c r="G21" s="35">
        <v>80</v>
      </c>
      <c r="H21" s="36">
        <f t="shared" si="1"/>
        <v>80</v>
      </c>
      <c r="I21" s="37">
        <v>0</v>
      </c>
    </row>
    <row r="22" spans="1:9" x14ac:dyDescent="0.25">
      <c r="A22" t="s">
        <v>67</v>
      </c>
      <c r="B22" s="38"/>
      <c r="C22" s="31">
        <v>0</v>
      </c>
      <c r="D22" s="32">
        <v>0</v>
      </c>
      <c r="E22" s="33">
        <v>0</v>
      </c>
      <c r="F22" s="34">
        <f t="shared" si="0"/>
        <v>0</v>
      </c>
      <c r="G22" s="35">
        <v>950</v>
      </c>
      <c r="H22" s="36">
        <f t="shared" si="1"/>
        <v>0</v>
      </c>
      <c r="I22" s="37"/>
    </row>
    <row r="23" spans="1:9" x14ac:dyDescent="0.25">
      <c r="A23" t="s">
        <v>125</v>
      </c>
      <c r="B23" s="30">
        <v>107</v>
      </c>
      <c r="C23" s="31">
        <v>0</v>
      </c>
      <c r="D23" s="32">
        <v>0</v>
      </c>
      <c r="E23" s="33">
        <v>0</v>
      </c>
      <c r="F23" s="34">
        <f t="shared" si="0"/>
        <v>32</v>
      </c>
      <c r="G23" s="35">
        <v>750</v>
      </c>
      <c r="H23" s="36">
        <f>F23*G23</f>
        <v>24000</v>
      </c>
      <c r="I23" s="37">
        <v>75</v>
      </c>
    </row>
    <row r="24" spans="1:9" x14ac:dyDescent="0.25">
      <c r="A24" t="s">
        <v>66</v>
      </c>
      <c r="B24" s="38"/>
      <c r="C24" s="31">
        <v>9</v>
      </c>
      <c r="D24" s="32">
        <v>0</v>
      </c>
      <c r="E24" s="33">
        <v>0</v>
      </c>
      <c r="F24" s="34">
        <f t="shared" si="0"/>
        <v>1</v>
      </c>
      <c r="G24" s="35">
        <v>1400</v>
      </c>
      <c r="H24" s="36">
        <f t="shared" si="1"/>
        <v>1400</v>
      </c>
      <c r="I24" s="37">
        <v>8</v>
      </c>
    </row>
    <row r="25" spans="1:9" x14ac:dyDescent="0.25">
      <c r="A25" t="s">
        <v>65</v>
      </c>
      <c r="B25" s="30">
        <v>0</v>
      </c>
      <c r="C25" s="31">
        <v>0</v>
      </c>
      <c r="D25" s="32">
        <v>0</v>
      </c>
      <c r="E25" s="33">
        <v>0</v>
      </c>
      <c r="F25" s="34">
        <f t="shared" si="0"/>
        <v>0</v>
      </c>
      <c r="G25" s="35">
        <v>750</v>
      </c>
      <c r="H25" s="36">
        <f t="shared" si="1"/>
        <v>0</v>
      </c>
      <c r="I25" s="37"/>
    </row>
    <row r="26" spans="1:9" x14ac:dyDescent="0.25">
      <c r="A26" t="s">
        <v>123</v>
      </c>
      <c r="B26" s="30">
        <v>7</v>
      </c>
      <c r="C26" s="31">
        <v>0</v>
      </c>
      <c r="D26" s="32">
        <v>0</v>
      </c>
      <c r="E26" s="33">
        <v>0</v>
      </c>
      <c r="F26" s="34">
        <f t="shared" si="0"/>
        <v>1</v>
      </c>
      <c r="G26" s="35">
        <v>650</v>
      </c>
      <c r="H26" s="36">
        <f t="shared" si="1"/>
        <v>650</v>
      </c>
      <c r="I26" s="37">
        <v>6</v>
      </c>
    </row>
    <row r="27" spans="1:9" x14ac:dyDescent="0.25">
      <c r="A27" t="s">
        <v>75</v>
      </c>
      <c r="B27" s="30">
        <v>110</v>
      </c>
      <c r="C27" s="31">
        <v>0</v>
      </c>
      <c r="D27" s="32">
        <v>0</v>
      </c>
      <c r="E27" s="33">
        <v>0</v>
      </c>
      <c r="F27" s="34">
        <f t="shared" si="0"/>
        <v>0</v>
      </c>
      <c r="G27" s="35">
        <v>70</v>
      </c>
      <c r="H27" s="36">
        <f t="shared" si="1"/>
        <v>0</v>
      </c>
      <c r="I27" s="37">
        <v>110</v>
      </c>
    </row>
    <row r="28" spans="1:9" x14ac:dyDescent="0.25">
      <c r="A28" t="s">
        <v>130</v>
      </c>
      <c r="B28" s="30">
        <v>17</v>
      </c>
      <c r="C28" s="31">
        <v>0</v>
      </c>
      <c r="D28" s="32">
        <v>0</v>
      </c>
      <c r="E28" s="33">
        <v>0</v>
      </c>
      <c r="F28" s="34">
        <f t="shared" si="0"/>
        <v>2</v>
      </c>
      <c r="G28" s="35">
        <v>1000</v>
      </c>
      <c r="H28" s="36">
        <f t="shared" si="1"/>
        <v>2000</v>
      </c>
      <c r="I28" s="37">
        <v>15</v>
      </c>
    </row>
    <row r="29" spans="1:9" x14ac:dyDescent="0.25">
      <c r="A29" t="s">
        <v>71</v>
      </c>
      <c r="B29" s="30">
        <v>10</v>
      </c>
      <c r="C29" s="31">
        <v>0</v>
      </c>
      <c r="D29" s="32">
        <v>0</v>
      </c>
      <c r="E29" s="33">
        <v>0</v>
      </c>
      <c r="F29" s="34">
        <f t="shared" si="0"/>
        <v>0</v>
      </c>
      <c r="G29" s="35">
        <v>1100</v>
      </c>
      <c r="H29" s="36">
        <f t="shared" si="1"/>
        <v>0</v>
      </c>
      <c r="I29" s="37">
        <v>10</v>
      </c>
    </row>
    <row r="30" spans="1:9" x14ac:dyDescent="0.25">
      <c r="A30" t="s">
        <v>25</v>
      </c>
      <c r="B30" s="30">
        <v>5</v>
      </c>
      <c r="C30" s="31">
        <v>0</v>
      </c>
      <c r="D30" s="32">
        <v>0</v>
      </c>
      <c r="E30" s="33">
        <v>0</v>
      </c>
      <c r="F30" s="34">
        <f t="shared" si="0"/>
        <v>0</v>
      </c>
      <c r="G30" s="35">
        <v>800</v>
      </c>
      <c r="H30" s="36">
        <f t="shared" si="1"/>
        <v>0</v>
      </c>
      <c r="I30" s="37">
        <v>5</v>
      </c>
    </row>
    <row r="31" spans="1:9" x14ac:dyDescent="0.25">
      <c r="A31" t="s">
        <v>9</v>
      </c>
      <c r="B31" s="30">
        <v>18</v>
      </c>
      <c r="C31" s="31">
        <v>0</v>
      </c>
      <c r="D31" s="32">
        <v>0</v>
      </c>
      <c r="E31" s="33">
        <v>0</v>
      </c>
      <c r="F31" s="34">
        <f t="shared" si="0"/>
        <v>0</v>
      </c>
      <c r="G31" s="35">
        <v>600</v>
      </c>
      <c r="H31" s="36">
        <f t="shared" si="1"/>
        <v>0</v>
      </c>
      <c r="I31" s="37">
        <v>18</v>
      </c>
    </row>
    <row r="32" spans="1:9" x14ac:dyDescent="0.25">
      <c r="A32" t="s">
        <v>115</v>
      </c>
      <c r="B32" s="30">
        <v>16</v>
      </c>
      <c r="C32" s="31">
        <v>0</v>
      </c>
      <c r="D32" s="32">
        <v>0</v>
      </c>
      <c r="E32" s="33">
        <v>0</v>
      </c>
      <c r="F32" s="34">
        <f t="shared" si="0"/>
        <v>0</v>
      </c>
      <c r="G32" s="35">
        <v>650</v>
      </c>
      <c r="H32" s="36">
        <f t="shared" si="1"/>
        <v>0</v>
      </c>
      <c r="I32" s="37">
        <v>16</v>
      </c>
    </row>
    <row r="33" spans="1:9" x14ac:dyDescent="0.25">
      <c r="A33" t="s">
        <v>131</v>
      </c>
      <c r="B33" s="30">
        <v>9</v>
      </c>
      <c r="C33" s="31">
        <v>0</v>
      </c>
      <c r="D33" s="32">
        <v>0</v>
      </c>
      <c r="E33" s="33">
        <v>0</v>
      </c>
      <c r="F33" s="34">
        <f t="shared" si="0"/>
        <v>0</v>
      </c>
      <c r="G33" s="35">
        <v>1150</v>
      </c>
      <c r="H33" s="36">
        <f t="shared" si="1"/>
        <v>0</v>
      </c>
      <c r="I33" s="37">
        <v>9</v>
      </c>
    </row>
    <row r="34" spans="1:9" x14ac:dyDescent="0.25">
      <c r="A34" t="s">
        <v>60</v>
      </c>
      <c r="B34" s="38"/>
      <c r="C34" s="31">
        <v>0</v>
      </c>
      <c r="D34" s="32">
        <v>0</v>
      </c>
      <c r="E34" s="33">
        <v>0</v>
      </c>
      <c r="F34" s="34">
        <f t="shared" si="0"/>
        <v>0</v>
      </c>
      <c r="G34" s="35">
        <v>0</v>
      </c>
      <c r="H34" s="36">
        <f t="shared" si="1"/>
        <v>0</v>
      </c>
      <c r="I34" s="37"/>
    </row>
    <row r="35" spans="1:9" x14ac:dyDescent="0.25">
      <c r="A35" t="s">
        <v>41</v>
      </c>
      <c r="B35" s="30">
        <v>85</v>
      </c>
      <c r="C35" s="31">
        <v>0</v>
      </c>
      <c r="D35" s="32">
        <v>0</v>
      </c>
      <c r="E35" s="33">
        <v>0</v>
      </c>
      <c r="F35" s="34">
        <f t="shared" si="0"/>
        <v>6</v>
      </c>
      <c r="G35" s="35">
        <v>120</v>
      </c>
      <c r="H35" s="36">
        <f t="shared" si="1"/>
        <v>720</v>
      </c>
      <c r="I35" s="37">
        <v>79</v>
      </c>
    </row>
    <row r="36" spans="1:9" x14ac:dyDescent="0.25">
      <c r="A36" t="s">
        <v>42</v>
      </c>
      <c r="B36" s="38"/>
      <c r="C36" s="31">
        <v>0</v>
      </c>
      <c r="D36" s="32">
        <v>0</v>
      </c>
      <c r="E36" s="33">
        <v>0</v>
      </c>
      <c r="F36" s="34">
        <f t="shared" si="0"/>
        <v>0</v>
      </c>
      <c r="G36" s="35">
        <v>1400</v>
      </c>
      <c r="H36" s="36">
        <f t="shared" si="1"/>
        <v>0</v>
      </c>
      <c r="I36" s="37"/>
    </row>
    <row r="37" spans="1:9" x14ac:dyDescent="0.25">
      <c r="A37" t="s">
        <v>82</v>
      </c>
      <c r="B37" s="38"/>
      <c r="C37" s="31">
        <v>0</v>
      </c>
      <c r="D37" s="32">
        <v>0</v>
      </c>
      <c r="E37" s="33">
        <v>0</v>
      </c>
      <c r="F37" s="34">
        <f t="shared" si="0"/>
        <v>0</v>
      </c>
      <c r="G37" s="35">
        <v>380</v>
      </c>
      <c r="H37" s="36">
        <f t="shared" si="1"/>
        <v>0</v>
      </c>
      <c r="I37" s="37"/>
    </row>
    <row r="38" spans="1:9" x14ac:dyDescent="0.25">
      <c r="A38" t="s">
        <v>32</v>
      </c>
      <c r="B38" s="30">
        <v>11</v>
      </c>
      <c r="C38" s="31">
        <v>0</v>
      </c>
      <c r="D38" s="32">
        <v>0</v>
      </c>
      <c r="E38" s="33">
        <v>0</v>
      </c>
      <c r="F38" s="34">
        <f t="shared" si="0"/>
        <v>0</v>
      </c>
      <c r="G38" s="35">
        <v>250</v>
      </c>
      <c r="H38" s="36">
        <f t="shared" si="1"/>
        <v>0</v>
      </c>
      <c r="I38" s="37">
        <v>11</v>
      </c>
    </row>
    <row r="39" spans="1:9" x14ac:dyDescent="0.25">
      <c r="A39" t="s">
        <v>36</v>
      </c>
      <c r="B39" s="30">
        <v>15</v>
      </c>
      <c r="C39" s="31">
        <v>0</v>
      </c>
      <c r="D39" s="32">
        <v>0</v>
      </c>
      <c r="E39" s="33">
        <v>0</v>
      </c>
      <c r="F39" s="34">
        <f t="shared" si="0"/>
        <v>0</v>
      </c>
      <c r="G39" s="35">
        <v>350</v>
      </c>
      <c r="H39" s="36">
        <f t="shared" si="1"/>
        <v>0</v>
      </c>
      <c r="I39" s="37">
        <v>15</v>
      </c>
    </row>
    <row r="40" spans="1:9" x14ac:dyDescent="0.25">
      <c r="A40" t="s">
        <v>114</v>
      </c>
      <c r="B40" s="30">
        <v>30</v>
      </c>
      <c r="C40" s="31">
        <v>0</v>
      </c>
      <c r="D40" s="32">
        <v>0</v>
      </c>
      <c r="E40" s="33">
        <v>0</v>
      </c>
      <c r="F40" s="34">
        <f t="shared" si="0"/>
        <v>0</v>
      </c>
      <c r="G40" s="35">
        <v>500</v>
      </c>
      <c r="H40" s="36">
        <f t="shared" si="1"/>
        <v>0</v>
      </c>
      <c r="I40" s="37">
        <v>30</v>
      </c>
    </row>
    <row r="41" spans="1:9" x14ac:dyDescent="0.25">
      <c r="A41" t="s">
        <v>48</v>
      </c>
      <c r="B41" s="30">
        <v>13</v>
      </c>
      <c r="C41" s="31">
        <v>0</v>
      </c>
      <c r="D41" s="32">
        <v>0</v>
      </c>
      <c r="E41" s="33">
        <v>0</v>
      </c>
      <c r="F41" s="34">
        <f t="shared" si="0"/>
        <v>0</v>
      </c>
      <c r="G41" s="35">
        <v>450</v>
      </c>
      <c r="H41" s="36">
        <f t="shared" si="1"/>
        <v>0</v>
      </c>
      <c r="I41" s="37">
        <v>13</v>
      </c>
    </row>
    <row r="42" spans="1:9" x14ac:dyDescent="0.25">
      <c r="A42" t="s">
        <v>121</v>
      </c>
      <c r="B42" s="30">
        <v>4</v>
      </c>
      <c r="C42" s="31">
        <v>3</v>
      </c>
      <c r="D42" s="32">
        <v>0</v>
      </c>
      <c r="E42" s="33">
        <v>0</v>
      </c>
      <c r="F42" s="34">
        <f t="shared" si="0"/>
        <v>1</v>
      </c>
      <c r="G42" s="35">
        <v>2200</v>
      </c>
      <c r="H42" s="36">
        <f t="shared" si="1"/>
        <v>2200</v>
      </c>
      <c r="I42" s="37">
        <v>6</v>
      </c>
    </row>
    <row r="43" spans="1:9" x14ac:dyDescent="0.25">
      <c r="A43" t="s">
        <v>122</v>
      </c>
      <c r="B43" s="30">
        <v>48</v>
      </c>
      <c r="C43" s="31">
        <v>0</v>
      </c>
      <c r="D43" s="32">
        <v>0</v>
      </c>
      <c r="E43" s="33">
        <v>0</v>
      </c>
      <c r="F43" s="34">
        <f t="shared" si="0"/>
        <v>3</v>
      </c>
      <c r="G43" s="35">
        <v>320</v>
      </c>
      <c r="H43" s="36">
        <f t="shared" si="1"/>
        <v>960</v>
      </c>
      <c r="I43" s="37">
        <v>45</v>
      </c>
    </row>
    <row r="44" spans="1:9" x14ac:dyDescent="0.25">
      <c r="A44" t="s">
        <v>40</v>
      </c>
      <c r="B44" s="30">
        <v>8</v>
      </c>
      <c r="C44" s="31">
        <v>0</v>
      </c>
      <c r="D44" s="32">
        <v>0</v>
      </c>
      <c r="E44" s="33">
        <v>0</v>
      </c>
      <c r="F44" s="34">
        <f t="shared" si="0"/>
        <v>0</v>
      </c>
      <c r="G44" s="35">
        <v>1100</v>
      </c>
      <c r="H44" s="36">
        <f t="shared" si="1"/>
        <v>0</v>
      </c>
      <c r="I44" s="37">
        <v>8</v>
      </c>
    </row>
    <row r="45" spans="1:9" x14ac:dyDescent="0.25">
      <c r="A45" t="s">
        <v>81</v>
      </c>
      <c r="B45" s="30">
        <v>20</v>
      </c>
      <c r="C45" s="31">
        <v>0</v>
      </c>
      <c r="D45" s="32">
        <v>0</v>
      </c>
      <c r="E45" s="33">
        <v>0</v>
      </c>
      <c r="F45" s="34">
        <f t="shared" si="0"/>
        <v>0</v>
      </c>
      <c r="G45" s="35">
        <v>460</v>
      </c>
      <c r="H45" s="36">
        <f t="shared" si="1"/>
        <v>0</v>
      </c>
      <c r="I45" s="37">
        <v>20</v>
      </c>
    </row>
    <row r="46" spans="1:9" x14ac:dyDescent="0.25">
      <c r="A46" t="s">
        <v>99</v>
      </c>
      <c r="B46" s="30">
        <v>120</v>
      </c>
      <c r="C46" s="31">
        <v>0</v>
      </c>
      <c r="D46" s="32">
        <v>0</v>
      </c>
      <c r="E46" s="33">
        <v>0</v>
      </c>
      <c r="F46" s="34">
        <f t="shared" si="0"/>
        <v>11</v>
      </c>
      <c r="G46" s="39">
        <v>220</v>
      </c>
      <c r="H46" s="36">
        <f t="shared" si="1"/>
        <v>2420</v>
      </c>
      <c r="I46" s="37">
        <v>109</v>
      </c>
    </row>
    <row r="47" spans="1:9" x14ac:dyDescent="0.25">
      <c r="A47" t="s">
        <v>70</v>
      </c>
      <c r="B47" s="30">
        <v>12</v>
      </c>
      <c r="C47" s="31">
        <v>0</v>
      </c>
      <c r="D47" s="32">
        <v>0</v>
      </c>
      <c r="E47" s="33">
        <v>0</v>
      </c>
      <c r="F47" s="34">
        <f t="shared" si="0"/>
        <v>0</v>
      </c>
      <c r="G47" s="35">
        <v>1300</v>
      </c>
      <c r="H47" s="36">
        <f t="shared" si="1"/>
        <v>0</v>
      </c>
      <c r="I47" s="37">
        <v>12</v>
      </c>
    </row>
    <row r="48" spans="1:9" x14ac:dyDescent="0.25">
      <c r="A48" t="s">
        <v>76</v>
      </c>
      <c r="B48" s="30">
        <v>12</v>
      </c>
      <c r="C48" s="31">
        <v>0</v>
      </c>
      <c r="D48" s="32">
        <v>0</v>
      </c>
      <c r="E48" s="33">
        <v>0</v>
      </c>
      <c r="F48" s="34">
        <f t="shared" si="0"/>
        <v>0</v>
      </c>
      <c r="G48" s="35">
        <v>800</v>
      </c>
      <c r="H48" s="36">
        <f t="shared" si="1"/>
        <v>0</v>
      </c>
      <c r="I48" s="37">
        <v>12</v>
      </c>
    </row>
    <row r="49" spans="1:9" x14ac:dyDescent="0.25">
      <c r="A49" t="s">
        <v>33</v>
      </c>
      <c r="B49" s="30">
        <v>22</v>
      </c>
      <c r="C49" s="31">
        <v>0</v>
      </c>
      <c r="D49" s="32">
        <v>0</v>
      </c>
      <c r="E49" s="33">
        <v>0</v>
      </c>
      <c r="F49" s="34">
        <f t="shared" si="0"/>
        <v>5</v>
      </c>
      <c r="G49" s="35">
        <v>10</v>
      </c>
      <c r="H49" s="36">
        <f t="shared" si="1"/>
        <v>50</v>
      </c>
      <c r="I49" s="37">
        <v>17</v>
      </c>
    </row>
    <row r="50" spans="1:9" x14ac:dyDescent="0.25">
      <c r="A50" t="s">
        <v>61</v>
      </c>
      <c r="B50" s="38"/>
      <c r="C50" s="31">
        <v>0</v>
      </c>
      <c r="D50" s="32">
        <v>0</v>
      </c>
      <c r="E50" s="33">
        <v>0</v>
      </c>
      <c r="F50" s="34">
        <f t="shared" ref="F50" si="2">B50+C50-I50</f>
        <v>0</v>
      </c>
      <c r="G50" s="39">
        <v>400</v>
      </c>
      <c r="H50" s="36">
        <f t="shared" ref="H50" si="3">F50*G50</f>
        <v>0</v>
      </c>
      <c r="I50" s="37"/>
    </row>
    <row r="51" spans="1:9" x14ac:dyDescent="0.25">
      <c r="A51" t="s">
        <v>134</v>
      </c>
      <c r="B51" s="38"/>
      <c r="C51" s="31">
        <v>30</v>
      </c>
      <c r="D51" s="32">
        <v>0</v>
      </c>
      <c r="E51" s="33">
        <v>0</v>
      </c>
      <c r="F51" s="34">
        <f t="shared" si="0"/>
        <v>2</v>
      </c>
      <c r="G51" s="39">
        <v>450</v>
      </c>
      <c r="H51" s="36">
        <f t="shared" si="1"/>
        <v>900</v>
      </c>
      <c r="I51" s="37">
        <v>28</v>
      </c>
    </row>
    <row r="52" spans="1:9" x14ac:dyDescent="0.25">
      <c r="A52" t="s">
        <v>98</v>
      </c>
      <c r="B52" s="30">
        <v>2.2000000000000002</v>
      </c>
      <c r="C52" s="31">
        <v>0</v>
      </c>
      <c r="D52" s="32">
        <v>0</v>
      </c>
      <c r="E52" s="33">
        <v>0</v>
      </c>
      <c r="F52" s="34">
        <f t="shared" si="0"/>
        <v>0</v>
      </c>
      <c r="G52" s="39">
        <v>800</v>
      </c>
      <c r="H52" s="36">
        <f>F52*G52</f>
        <v>0</v>
      </c>
      <c r="I52" s="37">
        <v>2.2000000000000002</v>
      </c>
    </row>
    <row r="53" spans="1:9" x14ac:dyDescent="0.25">
      <c r="A53" t="s">
        <v>6</v>
      </c>
      <c r="B53" s="38"/>
      <c r="C53" s="31">
        <v>0</v>
      </c>
      <c r="D53" s="32">
        <v>0</v>
      </c>
      <c r="E53" s="33">
        <v>0</v>
      </c>
      <c r="F53" s="34">
        <f t="shared" si="0"/>
        <v>0</v>
      </c>
      <c r="G53" s="35">
        <v>550</v>
      </c>
      <c r="H53" s="36">
        <f t="shared" si="1"/>
        <v>0</v>
      </c>
      <c r="I53" s="37"/>
    </row>
    <row r="54" spans="1:9" x14ac:dyDescent="0.25">
      <c r="A54" t="s">
        <v>8</v>
      </c>
      <c r="B54" s="30">
        <v>12</v>
      </c>
      <c r="C54" s="31">
        <v>0</v>
      </c>
      <c r="D54" s="32">
        <v>0</v>
      </c>
      <c r="E54" s="33">
        <v>0</v>
      </c>
      <c r="F54" s="34">
        <f t="shared" si="0"/>
        <v>0</v>
      </c>
      <c r="G54" s="35">
        <v>550</v>
      </c>
      <c r="H54" s="36">
        <f t="shared" si="1"/>
        <v>0</v>
      </c>
      <c r="I54" s="37">
        <v>12</v>
      </c>
    </row>
    <row r="55" spans="1:9" x14ac:dyDescent="0.25">
      <c r="A55" t="s">
        <v>108</v>
      </c>
      <c r="B55" s="38"/>
      <c r="C55" s="31">
        <v>0</v>
      </c>
      <c r="D55" s="32">
        <v>0</v>
      </c>
      <c r="E55" s="33">
        <v>0</v>
      </c>
      <c r="F55" s="34">
        <f t="shared" si="0"/>
        <v>0</v>
      </c>
      <c r="G55" s="35">
        <v>550</v>
      </c>
      <c r="H55" s="36">
        <f t="shared" si="1"/>
        <v>0</v>
      </c>
      <c r="I55" s="37"/>
    </row>
    <row r="56" spans="1:9" x14ac:dyDescent="0.25">
      <c r="A56" t="s">
        <v>109</v>
      </c>
      <c r="B56" s="38"/>
      <c r="C56" s="31">
        <v>0</v>
      </c>
      <c r="D56" s="32">
        <v>0</v>
      </c>
      <c r="E56" s="33">
        <v>0</v>
      </c>
      <c r="F56" s="34">
        <f t="shared" si="0"/>
        <v>0</v>
      </c>
      <c r="G56" s="35">
        <v>1400</v>
      </c>
      <c r="H56" s="36">
        <f t="shared" si="1"/>
        <v>0</v>
      </c>
      <c r="I56" s="37"/>
    </row>
    <row r="57" spans="1:9" x14ac:dyDescent="0.25">
      <c r="A57" t="s">
        <v>95</v>
      </c>
      <c r="B57" s="38"/>
      <c r="C57" s="31">
        <v>0</v>
      </c>
      <c r="D57" s="32">
        <v>0</v>
      </c>
      <c r="E57" s="33">
        <v>0</v>
      </c>
      <c r="F57" s="34">
        <f t="shared" si="0"/>
        <v>0</v>
      </c>
      <c r="G57" s="35">
        <v>1400</v>
      </c>
      <c r="H57" s="36">
        <f t="shared" si="1"/>
        <v>0</v>
      </c>
      <c r="I57" s="37"/>
    </row>
    <row r="58" spans="1:9" x14ac:dyDescent="0.25">
      <c r="A58" t="s">
        <v>106</v>
      </c>
      <c r="B58" s="30">
        <v>36</v>
      </c>
      <c r="C58" s="31">
        <v>0</v>
      </c>
      <c r="D58" s="32">
        <v>0</v>
      </c>
      <c r="E58" s="33">
        <v>0</v>
      </c>
      <c r="F58" s="34">
        <f t="shared" si="0"/>
        <v>1</v>
      </c>
      <c r="G58" s="35">
        <v>600</v>
      </c>
      <c r="H58" s="36">
        <f t="shared" si="1"/>
        <v>600</v>
      </c>
      <c r="I58" s="37">
        <v>35</v>
      </c>
    </row>
    <row r="59" spans="1:9" x14ac:dyDescent="0.25">
      <c r="A59" t="s">
        <v>23</v>
      </c>
      <c r="B59" s="30">
        <v>8</v>
      </c>
      <c r="C59" s="31">
        <v>0</v>
      </c>
      <c r="D59" s="32">
        <v>0</v>
      </c>
      <c r="E59" s="33">
        <v>0</v>
      </c>
      <c r="F59" s="34">
        <f t="shared" si="0"/>
        <v>0</v>
      </c>
      <c r="G59" s="35">
        <v>1500</v>
      </c>
      <c r="H59" s="36">
        <f t="shared" si="1"/>
        <v>0</v>
      </c>
      <c r="I59" s="37">
        <v>8</v>
      </c>
    </row>
    <row r="60" spans="1:9" x14ac:dyDescent="0.25">
      <c r="A60" t="s">
        <v>26</v>
      </c>
      <c r="B60" s="30">
        <v>6</v>
      </c>
      <c r="C60" s="31">
        <v>0</v>
      </c>
      <c r="D60" s="32">
        <v>0</v>
      </c>
      <c r="E60" s="33">
        <v>0</v>
      </c>
      <c r="F60" s="34">
        <f t="shared" si="0"/>
        <v>0</v>
      </c>
      <c r="G60" s="35">
        <v>1000</v>
      </c>
      <c r="H60" s="36">
        <f t="shared" si="1"/>
        <v>0</v>
      </c>
      <c r="I60" s="37">
        <v>6</v>
      </c>
    </row>
    <row r="61" spans="1:9" x14ac:dyDescent="0.25">
      <c r="A61" t="s">
        <v>72</v>
      </c>
      <c r="B61" s="30">
        <v>7</v>
      </c>
      <c r="C61" s="31">
        <v>0</v>
      </c>
      <c r="D61" s="32">
        <v>0</v>
      </c>
      <c r="E61" s="33">
        <v>0</v>
      </c>
      <c r="F61" s="34">
        <f t="shared" si="0"/>
        <v>0</v>
      </c>
      <c r="G61" s="35">
        <v>1050</v>
      </c>
      <c r="H61" s="36">
        <f t="shared" si="1"/>
        <v>0</v>
      </c>
      <c r="I61" s="37">
        <v>7</v>
      </c>
    </row>
    <row r="62" spans="1:9" x14ac:dyDescent="0.25">
      <c r="A62" t="s">
        <v>133</v>
      </c>
      <c r="B62" s="30">
        <v>0</v>
      </c>
      <c r="C62" s="31">
        <v>8</v>
      </c>
      <c r="D62" s="32">
        <v>0</v>
      </c>
      <c r="E62" s="33">
        <v>0</v>
      </c>
      <c r="F62" s="34">
        <f t="shared" ref="F62" si="4">B62+C62-I62</f>
        <v>0</v>
      </c>
      <c r="G62" s="35">
        <v>5000</v>
      </c>
      <c r="H62" s="36">
        <f t="shared" ref="H62" si="5">F62*G62</f>
        <v>0</v>
      </c>
      <c r="I62" s="37">
        <v>8</v>
      </c>
    </row>
    <row r="63" spans="1:9" x14ac:dyDescent="0.25">
      <c r="A63" t="s">
        <v>132</v>
      </c>
      <c r="B63" s="38">
        <v>8</v>
      </c>
      <c r="C63" s="31">
        <v>0</v>
      </c>
      <c r="D63" s="32">
        <v>0</v>
      </c>
      <c r="E63" s="33">
        <v>0</v>
      </c>
      <c r="F63" s="34">
        <f t="shared" si="0"/>
        <v>2</v>
      </c>
      <c r="G63" s="35">
        <v>1800</v>
      </c>
      <c r="H63" s="36">
        <f t="shared" si="1"/>
        <v>3600</v>
      </c>
      <c r="I63" s="37">
        <v>6</v>
      </c>
    </row>
    <row r="64" spans="1:9" x14ac:dyDescent="0.25">
      <c r="A64" t="s">
        <v>3</v>
      </c>
      <c r="B64" s="30">
        <v>17</v>
      </c>
      <c r="C64" s="31">
        <v>0</v>
      </c>
      <c r="D64" s="32">
        <v>0</v>
      </c>
      <c r="E64" s="33">
        <v>0</v>
      </c>
      <c r="F64" s="34">
        <f t="shared" si="0"/>
        <v>0</v>
      </c>
      <c r="G64" s="35">
        <v>550</v>
      </c>
      <c r="H64" s="36">
        <f t="shared" si="1"/>
        <v>0</v>
      </c>
      <c r="I64" s="37">
        <v>17</v>
      </c>
    </row>
    <row r="65" spans="1:9" x14ac:dyDescent="0.25">
      <c r="A65" t="s">
        <v>68</v>
      </c>
      <c r="B65" s="30">
        <v>46</v>
      </c>
      <c r="C65" s="31">
        <v>0</v>
      </c>
      <c r="D65" s="32">
        <v>0</v>
      </c>
      <c r="E65" s="33">
        <v>0</v>
      </c>
      <c r="F65" s="34">
        <f t="shared" si="0"/>
        <v>5</v>
      </c>
      <c r="G65" s="35">
        <v>80</v>
      </c>
      <c r="H65" s="36">
        <f t="shared" si="1"/>
        <v>400</v>
      </c>
      <c r="I65" s="37">
        <v>41</v>
      </c>
    </row>
    <row r="66" spans="1:9" x14ac:dyDescent="0.25">
      <c r="A66" t="s">
        <v>101</v>
      </c>
      <c r="B66" s="30">
        <v>19</v>
      </c>
      <c r="C66" s="31">
        <v>0</v>
      </c>
      <c r="D66" s="32">
        <v>0</v>
      </c>
      <c r="E66" s="33">
        <v>0</v>
      </c>
      <c r="F66" s="34">
        <f t="shared" si="0"/>
        <v>0</v>
      </c>
      <c r="G66" s="35">
        <v>850</v>
      </c>
      <c r="H66" s="36">
        <f t="shared" si="1"/>
        <v>0</v>
      </c>
      <c r="I66" s="37">
        <v>19</v>
      </c>
    </row>
    <row r="67" spans="1:9" x14ac:dyDescent="0.25">
      <c r="A67" t="s">
        <v>102</v>
      </c>
      <c r="B67" s="30">
        <v>11</v>
      </c>
      <c r="C67" s="31">
        <v>0</v>
      </c>
      <c r="D67" s="32">
        <v>0</v>
      </c>
      <c r="E67" s="33">
        <v>0</v>
      </c>
      <c r="F67" s="34">
        <f t="shared" si="0"/>
        <v>0</v>
      </c>
      <c r="G67" s="35">
        <v>1200</v>
      </c>
      <c r="H67" s="36">
        <f t="shared" si="1"/>
        <v>0</v>
      </c>
      <c r="I67" s="37">
        <v>11</v>
      </c>
    </row>
    <row r="68" spans="1:9" x14ac:dyDescent="0.25">
      <c r="A68" t="s">
        <v>20</v>
      </c>
      <c r="B68" s="30">
        <v>6</v>
      </c>
      <c r="C68" s="31">
        <v>4</v>
      </c>
      <c r="D68" s="32">
        <v>0</v>
      </c>
      <c r="E68" s="33">
        <v>0</v>
      </c>
      <c r="F68" s="34">
        <f t="shared" si="0"/>
        <v>3</v>
      </c>
      <c r="G68" s="35">
        <v>1250</v>
      </c>
      <c r="H68" s="36">
        <f t="shared" si="1"/>
        <v>3750</v>
      </c>
      <c r="I68" s="37">
        <v>7</v>
      </c>
    </row>
    <row r="69" spans="1:9" x14ac:dyDescent="0.25">
      <c r="A69" t="s">
        <v>120</v>
      </c>
      <c r="B69" s="30">
        <v>11</v>
      </c>
      <c r="C69" s="31">
        <v>0</v>
      </c>
      <c r="D69" s="32">
        <v>0</v>
      </c>
      <c r="E69" s="33">
        <v>0</v>
      </c>
      <c r="F69" s="34">
        <f t="shared" si="0"/>
        <v>1</v>
      </c>
      <c r="G69" s="35">
        <v>1600</v>
      </c>
      <c r="H69" s="36">
        <f t="shared" si="1"/>
        <v>1600</v>
      </c>
      <c r="I69" s="37">
        <v>10</v>
      </c>
    </row>
    <row r="70" spans="1:9" x14ac:dyDescent="0.25">
      <c r="A70" t="s">
        <v>59</v>
      </c>
      <c r="B70" s="30">
        <v>19</v>
      </c>
      <c r="C70" s="31">
        <v>0</v>
      </c>
      <c r="D70" s="32">
        <v>0</v>
      </c>
      <c r="E70" s="33">
        <v>0</v>
      </c>
      <c r="F70" s="34">
        <f t="shared" ref="F70:F110" si="6">B70+C70-I70</f>
        <v>1</v>
      </c>
      <c r="G70" s="35">
        <v>180</v>
      </c>
      <c r="H70" s="36">
        <f t="shared" si="1"/>
        <v>180</v>
      </c>
      <c r="I70" s="37">
        <v>18</v>
      </c>
    </row>
    <row r="71" spans="1:9" x14ac:dyDescent="0.25">
      <c r="A71" t="s">
        <v>52</v>
      </c>
      <c r="B71" s="30">
        <v>18</v>
      </c>
      <c r="C71" s="31">
        <v>0</v>
      </c>
      <c r="D71" s="32">
        <v>0</v>
      </c>
      <c r="E71" s="33">
        <v>0</v>
      </c>
      <c r="F71" s="34">
        <f t="shared" si="6"/>
        <v>0</v>
      </c>
      <c r="G71" s="35">
        <v>200</v>
      </c>
      <c r="H71" s="36">
        <f t="shared" si="1"/>
        <v>0</v>
      </c>
      <c r="I71" s="37">
        <v>18</v>
      </c>
    </row>
    <row r="72" spans="1:9" x14ac:dyDescent="0.25">
      <c r="A72" t="s">
        <v>49</v>
      </c>
      <c r="B72" s="30">
        <v>36</v>
      </c>
      <c r="C72" s="31">
        <v>0</v>
      </c>
      <c r="D72" s="32">
        <v>0</v>
      </c>
      <c r="E72" s="33">
        <v>0</v>
      </c>
      <c r="F72" s="34">
        <f t="shared" si="6"/>
        <v>0</v>
      </c>
      <c r="G72" s="35">
        <v>200</v>
      </c>
      <c r="H72" s="36">
        <f t="shared" si="1"/>
        <v>0</v>
      </c>
      <c r="I72" s="37">
        <v>36</v>
      </c>
    </row>
    <row r="73" spans="1:9" x14ac:dyDescent="0.25">
      <c r="A73" t="s">
        <v>58</v>
      </c>
      <c r="B73" s="30">
        <v>19</v>
      </c>
      <c r="C73" s="31">
        <v>0</v>
      </c>
      <c r="D73" s="32">
        <v>0</v>
      </c>
      <c r="E73" s="33">
        <v>0</v>
      </c>
      <c r="F73" s="34">
        <f t="shared" si="6"/>
        <v>0</v>
      </c>
      <c r="G73" s="35">
        <v>160</v>
      </c>
      <c r="H73" s="36">
        <f t="shared" si="1"/>
        <v>0</v>
      </c>
      <c r="I73" s="37">
        <v>19</v>
      </c>
    </row>
    <row r="74" spans="1:9" x14ac:dyDescent="0.25">
      <c r="A74" t="s">
        <v>50</v>
      </c>
      <c r="B74" s="30">
        <v>3</v>
      </c>
      <c r="C74" s="31">
        <v>0</v>
      </c>
      <c r="D74" s="32">
        <v>0</v>
      </c>
      <c r="E74" s="33">
        <v>0</v>
      </c>
      <c r="F74" s="34">
        <f t="shared" si="6"/>
        <v>0</v>
      </c>
      <c r="G74" s="35">
        <v>200</v>
      </c>
      <c r="H74" s="36">
        <f t="shared" si="1"/>
        <v>0</v>
      </c>
      <c r="I74" s="37">
        <v>3</v>
      </c>
    </row>
    <row r="75" spans="1:9" x14ac:dyDescent="0.25">
      <c r="A75" t="s">
        <v>51</v>
      </c>
      <c r="B75" s="30">
        <v>8</v>
      </c>
      <c r="C75" s="31">
        <v>0</v>
      </c>
      <c r="D75" s="32">
        <v>0</v>
      </c>
      <c r="E75" s="33">
        <v>0</v>
      </c>
      <c r="F75" s="34">
        <f t="shared" si="6"/>
        <v>0</v>
      </c>
      <c r="G75" s="35">
        <v>200</v>
      </c>
      <c r="H75" s="36">
        <f t="shared" si="1"/>
        <v>0</v>
      </c>
      <c r="I75" s="37">
        <v>8</v>
      </c>
    </row>
    <row r="76" spans="1:9" x14ac:dyDescent="0.25">
      <c r="A76" t="s">
        <v>44</v>
      </c>
      <c r="B76" s="30">
        <v>10</v>
      </c>
      <c r="C76" s="31">
        <v>0</v>
      </c>
      <c r="D76" s="32">
        <v>0</v>
      </c>
      <c r="E76" s="33">
        <v>0</v>
      </c>
      <c r="F76" s="34">
        <f t="shared" si="6"/>
        <v>0</v>
      </c>
      <c r="G76" s="35">
        <v>800</v>
      </c>
      <c r="H76" s="36">
        <f t="shared" si="1"/>
        <v>0</v>
      </c>
      <c r="I76" s="37">
        <v>10</v>
      </c>
    </row>
    <row r="77" spans="1:9" x14ac:dyDescent="0.25">
      <c r="A77" t="s">
        <v>107</v>
      </c>
      <c r="B77" s="30">
        <v>6</v>
      </c>
      <c r="C77" s="31">
        <v>0</v>
      </c>
      <c r="D77" s="32">
        <v>0</v>
      </c>
      <c r="E77" s="33">
        <v>0</v>
      </c>
      <c r="F77" s="34">
        <f t="shared" si="6"/>
        <v>0</v>
      </c>
      <c r="G77" s="35">
        <v>220</v>
      </c>
      <c r="H77" s="36">
        <f t="shared" si="1"/>
        <v>0</v>
      </c>
      <c r="I77" s="37">
        <v>6</v>
      </c>
    </row>
    <row r="78" spans="1:9" x14ac:dyDescent="0.25">
      <c r="A78" t="s">
        <v>34</v>
      </c>
      <c r="B78" s="38"/>
      <c r="C78" s="31">
        <v>0</v>
      </c>
      <c r="D78" s="32">
        <v>0</v>
      </c>
      <c r="E78" s="33">
        <v>0</v>
      </c>
      <c r="F78" s="34">
        <f t="shared" si="6"/>
        <v>0</v>
      </c>
      <c r="G78" s="35">
        <v>2300</v>
      </c>
      <c r="H78" s="36">
        <f t="shared" si="1"/>
        <v>0</v>
      </c>
      <c r="I78" s="37"/>
    </row>
    <row r="79" spans="1:9" x14ac:dyDescent="0.25">
      <c r="A79" t="s">
        <v>35</v>
      </c>
      <c r="B79" s="38"/>
      <c r="C79" s="31">
        <v>0</v>
      </c>
      <c r="D79" s="32">
        <v>0</v>
      </c>
      <c r="E79" s="33">
        <v>0</v>
      </c>
      <c r="F79" s="34">
        <f t="shared" si="6"/>
        <v>0</v>
      </c>
      <c r="G79" s="35">
        <v>2320</v>
      </c>
      <c r="H79" s="36">
        <f t="shared" ref="H79:H110" si="7">F79*G79</f>
        <v>0</v>
      </c>
      <c r="I79" s="37"/>
    </row>
    <row r="80" spans="1:9" x14ac:dyDescent="0.25">
      <c r="A80" t="s">
        <v>24</v>
      </c>
      <c r="B80" s="30">
        <v>6</v>
      </c>
      <c r="C80" s="31">
        <v>0</v>
      </c>
      <c r="D80" s="32">
        <v>0</v>
      </c>
      <c r="E80" s="33">
        <v>0</v>
      </c>
      <c r="F80" s="34">
        <f t="shared" si="6"/>
        <v>2</v>
      </c>
      <c r="G80" s="35">
        <v>2900</v>
      </c>
      <c r="H80" s="36">
        <f t="shared" si="7"/>
        <v>5800</v>
      </c>
      <c r="I80" s="37">
        <v>4</v>
      </c>
    </row>
    <row r="81" spans="1:19" x14ac:dyDescent="0.25">
      <c r="A81" t="s">
        <v>113</v>
      </c>
      <c r="B81" s="30">
        <v>15</v>
      </c>
      <c r="C81" s="31">
        <v>0</v>
      </c>
      <c r="D81" s="32">
        <v>0</v>
      </c>
      <c r="E81" s="33">
        <v>0</v>
      </c>
      <c r="F81" s="34">
        <f t="shared" si="6"/>
        <v>0</v>
      </c>
      <c r="G81" s="35">
        <v>850</v>
      </c>
      <c r="H81" s="36">
        <f t="shared" si="7"/>
        <v>0</v>
      </c>
      <c r="I81" s="37">
        <v>15</v>
      </c>
    </row>
    <row r="82" spans="1:19" x14ac:dyDescent="0.25">
      <c r="A82" t="s">
        <v>31</v>
      </c>
      <c r="B82" s="30">
        <v>33</v>
      </c>
      <c r="C82" s="31">
        <v>0</v>
      </c>
      <c r="D82" s="32">
        <v>0</v>
      </c>
      <c r="E82" s="33">
        <v>0</v>
      </c>
      <c r="F82" s="34">
        <f t="shared" si="6"/>
        <v>1</v>
      </c>
      <c r="G82" s="35">
        <v>550</v>
      </c>
      <c r="H82" s="36">
        <f t="shared" si="7"/>
        <v>550</v>
      </c>
      <c r="I82" s="37">
        <v>32</v>
      </c>
      <c r="L82" s="3"/>
      <c r="M82" s="3"/>
      <c r="N82" s="3"/>
      <c r="O82" s="3"/>
      <c r="P82" s="5"/>
      <c r="Q82" s="3"/>
      <c r="R82" s="3"/>
      <c r="S82" s="3"/>
    </row>
    <row r="83" spans="1:19" x14ac:dyDescent="0.25">
      <c r="A83" t="s">
        <v>46</v>
      </c>
      <c r="B83" s="38"/>
      <c r="C83" s="31">
        <v>0</v>
      </c>
      <c r="D83" s="32">
        <v>0</v>
      </c>
      <c r="E83" s="33">
        <v>0</v>
      </c>
      <c r="F83" s="34">
        <f t="shared" si="6"/>
        <v>0</v>
      </c>
      <c r="G83" s="35">
        <v>300</v>
      </c>
      <c r="H83" s="36">
        <f t="shared" si="7"/>
        <v>0</v>
      </c>
      <c r="I83" s="37"/>
    </row>
    <row r="84" spans="1:19" x14ac:dyDescent="0.25">
      <c r="A84" t="s">
        <v>111</v>
      </c>
      <c r="B84" s="38"/>
      <c r="C84" s="31">
        <v>0</v>
      </c>
      <c r="D84" s="32">
        <v>0</v>
      </c>
      <c r="E84" s="33">
        <v>0</v>
      </c>
      <c r="F84" s="34">
        <f t="shared" si="6"/>
        <v>0</v>
      </c>
      <c r="G84" s="35">
        <v>300</v>
      </c>
      <c r="H84" s="36">
        <f t="shared" si="7"/>
        <v>0</v>
      </c>
      <c r="I84" s="37"/>
    </row>
    <row r="85" spans="1:19" x14ac:dyDescent="0.25">
      <c r="A85" t="s">
        <v>55</v>
      </c>
      <c r="B85" s="30">
        <v>3</v>
      </c>
      <c r="C85" s="31">
        <v>0</v>
      </c>
      <c r="D85" s="32">
        <v>0</v>
      </c>
      <c r="E85" s="33">
        <v>0</v>
      </c>
      <c r="F85" s="34">
        <f t="shared" si="6"/>
        <v>3</v>
      </c>
      <c r="G85" s="35">
        <v>150</v>
      </c>
      <c r="H85" s="36">
        <f t="shared" si="7"/>
        <v>450</v>
      </c>
      <c r="I85" s="37">
        <v>0</v>
      </c>
    </row>
    <row r="86" spans="1:19" x14ac:dyDescent="0.25">
      <c r="A86" t="s">
        <v>54</v>
      </c>
      <c r="B86" s="30">
        <v>16</v>
      </c>
      <c r="C86" s="31">
        <v>0</v>
      </c>
      <c r="D86" s="32">
        <v>0</v>
      </c>
      <c r="E86" s="33">
        <v>0</v>
      </c>
      <c r="F86" s="34">
        <f t="shared" si="6"/>
        <v>1</v>
      </c>
      <c r="G86" s="35">
        <v>200</v>
      </c>
      <c r="H86" s="36">
        <f t="shared" si="7"/>
        <v>200</v>
      </c>
      <c r="I86" s="37">
        <v>15</v>
      </c>
    </row>
    <row r="87" spans="1:19" x14ac:dyDescent="0.25">
      <c r="A87" t="s">
        <v>56</v>
      </c>
      <c r="B87" s="30">
        <v>21</v>
      </c>
      <c r="C87" s="31">
        <v>0</v>
      </c>
      <c r="D87" s="32">
        <v>0</v>
      </c>
      <c r="E87" s="33">
        <v>0</v>
      </c>
      <c r="F87" s="34">
        <f t="shared" si="6"/>
        <v>0</v>
      </c>
      <c r="G87" s="35">
        <v>150</v>
      </c>
      <c r="H87" s="36">
        <f t="shared" si="7"/>
        <v>0</v>
      </c>
      <c r="I87" s="37">
        <v>21</v>
      </c>
    </row>
    <row r="88" spans="1:19" x14ac:dyDescent="0.25">
      <c r="A88" t="s">
        <v>53</v>
      </c>
      <c r="B88" s="30">
        <v>23</v>
      </c>
      <c r="C88" s="31">
        <v>0</v>
      </c>
      <c r="D88" s="32">
        <v>0</v>
      </c>
      <c r="E88" s="33">
        <v>0</v>
      </c>
      <c r="F88" s="34">
        <f t="shared" si="6"/>
        <v>0</v>
      </c>
      <c r="G88" s="35">
        <v>160</v>
      </c>
      <c r="H88" s="36">
        <f t="shared" si="7"/>
        <v>0</v>
      </c>
      <c r="I88" s="37">
        <v>23</v>
      </c>
    </row>
    <row r="89" spans="1:19" x14ac:dyDescent="0.25">
      <c r="A89" t="s">
        <v>57</v>
      </c>
      <c r="B89" s="30">
        <v>3</v>
      </c>
      <c r="C89" s="31">
        <v>0</v>
      </c>
      <c r="D89" s="32">
        <v>0</v>
      </c>
      <c r="E89" s="33">
        <v>0</v>
      </c>
      <c r="F89" s="34">
        <f t="shared" si="6"/>
        <v>0</v>
      </c>
      <c r="G89" s="35">
        <v>220</v>
      </c>
      <c r="H89" s="36">
        <f t="shared" si="7"/>
        <v>0</v>
      </c>
      <c r="I89" s="37">
        <v>3</v>
      </c>
    </row>
    <row r="90" spans="1:19" x14ac:dyDescent="0.25">
      <c r="A90" t="s">
        <v>63</v>
      </c>
      <c r="B90" s="30">
        <v>20</v>
      </c>
      <c r="C90" s="31">
        <v>0</v>
      </c>
      <c r="D90" s="32">
        <v>0</v>
      </c>
      <c r="E90" s="33">
        <v>0</v>
      </c>
      <c r="F90" s="34">
        <f t="shared" si="6"/>
        <v>1</v>
      </c>
      <c r="G90" s="35">
        <v>850</v>
      </c>
      <c r="H90" s="36">
        <f t="shared" si="7"/>
        <v>850</v>
      </c>
      <c r="I90" s="37">
        <v>19</v>
      </c>
    </row>
    <row r="91" spans="1:19" x14ac:dyDescent="0.25">
      <c r="A91" t="s">
        <v>64</v>
      </c>
      <c r="B91" s="38"/>
      <c r="C91" s="31">
        <v>0</v>
      </c>
      <c r="D91" s="32">
        <v>0</v>
      </c>
      <c r="E91" s="33">
        <v>0</v>
      </c>
      <c r="F91" s="34">
        <f t="shared" si="6"/>
        <v>0</v>
      </c>
      <c r="G91" s="35">
        <v>0</v>
      </c>
      <c r="H91" s="36">
        <f t="shared" si="7"/>
        <v>0</v>
      </c>
      <c r="I91" s="37"/>
    </row>
    <row r="92" spans="1:19" x14ac:dyDescent="0.25">
      <c r="A92" t="s">
        <v>74</v>
      </c>
      <c r="B92" s="38"/>
      <c r="C92" s="43">
        <f>13.76+15.85</f>
        <v>29.61</v>
      </c>
      <c r="D92" s="32">
        <v>0</v>
      </c>
      <c r="E92" s="33">
        <v>0</v>
      </c>
      <c r="F92" s="34">
        <f t="shared" si="6"/>
        <v>5.879999999999999</v>
      </c>
      <c r="G92" s="35">
        <v>950</v>
      </c>
      <c r="H92" s="36">
        <f t="shared" si="7"/>
        <v>5585.9999999999991</v>
      </c>
      <c r="I92" s="37">
        <v>23.73</v>
      </c>
    </row>
    <row r="93" spans="1:19" x14ac:dyDescent="0.25">
      <c r="A93" t="s">
        <v>96</v>
      </c>
      <c r="B93" s="30">
        <v>22.21</v>
      </c>
      <c r="C93" s="31">
        <v>0</v>
      </c>
      <c r="D93" s="32">
        <v>0</v>
      </c>
      <c r="E93" s="33">
        <v>0</v>
      </c>
      <c r="F93" s="34">
        <f>B93+C93-I93</f>
        <v>0.96000000000000085</v>
      </c>
      <c r="G93" s="35">
        <v>1000</v>
      </c>
      <c r="H93" s="36">
        <f t="shared" si="7"/>
        <v>960.00000000000091</v>
      </c>
      <c r="I93" s="37">
        <v>21.25</v>
      </c>
    </row>
    <row r="94" spans="1:19" x14ac:dyDescent="0.25">
      <c r="A94" t="s">
        <v>129</v>
      </c>
      <c r="B94" s="30">
        <v>9</v>
      </c>
      <c r="C94" s="31">
        <v>0</v>
      </c>
      <c r="D94" s="32">
        <v>0</v>
      </c>
      <c r="E94" s="33">
        <v>0</v>
      </c>
      <c r="F94" s="34">
        <f t="shared" si="6"/>
        <v>5</v>
      </c>
      <c r="G94" s="35">
        <v>1000</v>
      </c>
      <c r="H94" s="36">
        <f t="shared" si="7"/>
        <v>5000</v>
      </c>
      <c r="I94" s="37">
        <v>4</v>
      </c>
    </row>
    <row r="95" spans="1:19" x14ac:dyDescent="0.25">
      <c r="A95" t="s">
        <v>128</v>
      </c>
      <c r="B95" s="30">
        <v>21</v>
      </c>
      <c r="C95" s="31">
        <v>0</v>
      </c>
      <c r="D95" s="32">
        <v>0</v>
      </c>
      <c r="E95" s="33">
        <v>0</v>
      </c>
      <c r="F95" s="34">
        <f t="shared" si="6"/>
        <v>2</v>
      </c>
      <c r="G95" s="35">
        <v>580</v>
      </c>
      <c r="H95" s="36">
        <f t="shared" si="7"/>
        <v>1160</v>
      </c>
      <c r="I95" s="37">
        <v>19</v>
      </c>
    </row>
    <row r="96" spans="1:19" x14ac:dyDescent="0.25">
      <c r="A96" t="s">
        <v>127</v>
      </c>
      <c r="B96" s="30">
        <v>82</v>
      </c>
      <c r="C96" s="31">
        <v>0</v>
      </c>
      <c r="D96" s="32">
        <v>0</v>
      </c>
      <c r="E96" s="33">
        <v>0</v>
      </c>
      <c r="F96" s="34">
        <f t="shared" si="6"/>
        <v>4</v>
      </c>
      <c r="G96" s="35">
        <v>220</v>
      </c>
      <c r="H96" s="36">
        <f t="shared" si="7"/>
        <v>880</v>
      </c>
      <c r="I96" s="37">
        <v>78</v>
      </c>
    </row>
    <row r="97" spans="1:9" x14ac:dyDescent="0.25">
      <c r="A97" t="s">
        <v>112</v>
      </c>
      <c r="B97" s="38"/>
      <c r="C97" s="31">
        <v>0</v>
      </c>
      <c r="D97" s="32">
        <v>0</v>
      </c>
      <c r="E97" s="33">
        <v>0</v>
      </c>
      <c r="F97" s="34">
        <f t="shared" si="6"/>
        <v>0</v>
      </c>
      <c r="G97" s="35">
        <v>1300</v>
      </c>
      <c r="H97" s="36">
        <f t="shared" si="7"/>
        <v>0</v>
      </c>
      <c r="I97" s="37"/>
    </row>
    <row r="98" spans="1:9" x14ac:dyDescent="0.25">
      <c r="A98" t="s">
        <v>2</v>
      </c>
      <c r="B98" s="30">
        <v>27</v>
      </c>
      <c r="C98" s="31">
        <v>0</v>
      </c>
      <c r="D98" s="32">
        <v>0</v>
      </c>
      <c r="E98" s="33">
        <v>0</v>
      </c>
      <c r="F98" s="34">
        <f t="shared" si="6"/>
        <v>3</v>
      </c>
      <c r="G98" s="35">
        <v>580</v>
      </c>
      <c r="H98" s="36">
        <f t="shared" si="7"/>
        <v>1740</v>
      </c>
      <c r="I98" s="37">
        <v>24</v>
      </c>
    </row>
    <row r="99" spans="1:9" x14ac:dyDescent="0.25">
      <c r="A99" t="s">
        <v>104</v>
      </c>
      <c r="B99" s="30">
        <v>7</v>
      </c>
      <c r="C99" s="31">
        <v>0</v>
      </c>
      <c r="D99" s="32">
        <v>0</v>
      </c>
      <c r="E99" s="33">
        <v>0</v>
      </c>
      <c r="F99" s="34">
        <f t="shared" si="6"/>
        <v>5</v>
      </c>
      <c r="G99" s="35">
        <v>1000</v>
      </c>
      <c r="H99" s="36">
        <f t="shared" si="7"/>
        <v>5000</v>
      </c>
      <c r="I99" s="37">
        <v>2</v>
      </c>
    </row>
    <row r="100" spans="1:9" x14ac:dyDescent="0.25">
      <c r="A100" t="s">
        <v>45</v>
      </c>
      <c r="B100" s="30">
        <v>18</v>
      </c>
      <c r="C100" s="31">
        <v>0</v>
      </c>
      <c r="D100" s="32">
        <v>0</v>
      </c>
      <c r="E100" s="33">
        <v>0</v>
      </c>
      <c r="F100" s="34">
        <f t="shared" si="6"/>
        <v>2</v>
      </c>
      <c r="G100" s="35">
        <v>70</v>
      </c>
      <c r="H100" s="36">
        <f t="shared" si="7"/>
        <v>140</v>
      </c>
      <c r="I100" s="37">
        <v>16</v>
      </c>
    </row>
    <row r="101" spans="1:9" x14ac:dyDescent="0.25">
      <c r="A101" t="s">
        <v>119</v>
      </c>
      <c r="B101" s="30">
        <v>22</v>
      </c>
      <c r="C101" s="31">
        <v>0</v>
      </c>
      <c r="D101" s="32">
        <v>0</v>
      </c>
      <c r="E101" s="33">
        <v>0</v>
      </c>
      <c r="F101" s="34">
        <f t="shared" si="6"/>
        <v>0</v>
      </c>
      <c r="G101" s="35">
        <v>850</v>
      </c>
      <c r="H101" s="36">
        <f t="shared" si="7"/>
        <v>0</v>
      </c>
      <c r="I101" s="37">
        <v>22</v>
      </c>
    </row>
    <row r="102" spans="1:9" x14ac:dyDescent="0.25">
      <c r="A102" t="s">
        <v>1</v>
      </c>
      <c r="B102" s="30">
        <v>3</v>
      </c>
      <c r="C102" s="31">
        <v>0</v>
      </c>
      <c r="D102" s="32">
        <v>0</v>
      </c>
      <c r="E102" s="33">
        <v>0</v>
      </c>
      <c r="F102" s="34">
        <f t="shared" si="6"/>
        <v>0</v>
      </c>
      <c r="G102" s="35">
        <v>850</v>
      </c>
      <c r="H102" s="36">
        <f t="shared" si="7"/>
        <v>0</v>
      </c>
      <c r="I102" s="37">
        <v>3</v>
      </c>
    </row>
    <row r="103" spans="1:9" x14ac:dyDescent="0.25">
      <c r="A103" t="s">
        <v>27</v>
      </c>
      <c r="B103" s="30">
        <v>14</v>
      </c>
      <c r="C103" s="31">
        <v>0</v>
      </c>
      <c r="D103" s="32">
        <v>0</v>
      </c>
      <c r="E103" s="33">
        <v>0</v>
      </c>
      <c r="F103" s="34">
        <f t="shared" si="6"/>
        <v>0</v>
      </c>
      <c r="G103" s="35">
        <v>350</v>
      </c>
      <c r="H103" s="36">
        <f t="shared" si="7"/>
        <v>0</v>
      </c>
      <c r="I103" s="37">
        <v>14</v>
      </c>
    </row>
    <row r="104" spans="1:9" x14ac:dyDescent="0.25">
      <c r="A104" t="s">
        <v>37</v>
      </c>
      <c r="B104" s="30">
        <v>22</v>
      </c>
      <c r="C104" s="31">
        <v>0</v>
      </c>
      <c r="D104" s="32">
        <v>0</v>
      </c>
      <c r="E104" s="33">
        <v>0</v>
      </c>
      <c r="F104" s="34">
        <f t="shared" si="6"/>
        <v>1</v>
      </c>
      <c r="G104" s="35">
        <v>380</v>
      </c>
      <c r="H104" s="36">
        <f t="shared" si="7"/>
        <v>380</v>
      </c>
      <c r="I104" s="37">
        <v>21</v>
      </c>
    </row>
    <row r="105" spans="1:9" x14ac:dyDescent="0.25">
      <c r="A105" t="s">
        <v>100</v>
      </c>
      <c r="B105" s="30">
        <v>19</v>
      </c>
      <c r="C105" s="31">
        <v>0</v>
      </c>
      <c r="D105" s="32">
        <v>0</v>
      </c>
      <c r="E105" s="33">
        <v>0</v>
      </c>
      <c r="F105" s="34">
        <f t="shared" si="6"/>
        <v>3</v>
      </c>
      <c r="G105" s="35">
        <v>400</v>
      </c>
      <c r="H105" s="36">
        <f t="shared" si="7"/>
        <v>1200</v>
      </c>
      <c r="I105" s="37">
        <v>16</v>
      </c>
    </row>
    <row r="106" spans="1:9" x14ac:dyDescent="0.25">
      <c r="A106" t="s">
        <v>80</v>
      </c>
      <c r="B106" s="30">
        <v>12</v>
      </c>
      <c r="C106" s="31">
        <v>0</v>
      </c>
      <c r="D106" s="32">
        <v>0</v>
      </c>
      <c r="E106" s="33">
        <v>0</v>
      </c>
      <c r="F106" s="34">
        <f t="shared" si="6"/>
        <v>0</v>
      </c>
      <c r="G106" s="35">
        <v>1850</v>
      </c>
      <c r="H106" s="36">
        <f t="shared" si="7"/>
        <v>0</v>
      </c>
      <c r="I106" s="37">
        <v>12</v>
      </c>
    </row>
    <row r="107" spans="1:9" x14ac:dyDescent="0.25">
      <c r="A107" t="s">
        <v>79</v>
      </c>
      <c r="B107" s="30">
        <v>7</v>
      </c>
      <c r="C107" s="31">
        <v>0</v>
      </c>
      <c r="D107" s="32">
        <v>0</v>
      </c>
      <c r="E107" s="33">
        <v>0</v>
      </c>
      <c r="F107" s="34">
        <f t="shared" si="6"/>
        <v>0</v>
      </c>
      <c r="G107" s="35">
        <v>950</v>
      </c>
      <c r="H107" s="36">
        <f t="shared" si="7"/>
        <v>0</v>
      </c>
      <c r="I107" s="37">
        <v>7</v>
      </c>
    </row>
    <row r="108" spans="1:9" x14ac:dyDescent="0.25">
      <c r="A108" t="s">
        <v>39</v>
      </c>
      <c r="B108" s="30">
        <v>18</v>
      </c>
      <c r="C108" s="31">
        <v>0</v>
      </c>
      <c r="D108" s="32">
        <v>0</v>
      </c>
      <c r="E108" s="33">
        <v>0</v>
      </c>
      <c r="F108" s="34">
        <f t="shared" si="6"/>
        <v>2</v>
      </c>
      <c r="G108" s="35">
        <v>650</v>
      </c>
      <c r="H108" s="36">
        <f t="shared" si="7"/>
        <v>1300</v>
      </c>
      <c r="I108" s="37">
        <v>16</v>
      </c>
    </row>
    <row r="109" spans="1:9" x14ac:dyDescent="0.25">
      <c r="A109" t="s">
        <v>16</v>
      </c>
      <c r="B109" s="38"/>
      <c r="C109" s="31">
        <v>0</v>
      </c>
      <c r="D109" s="32">
        <v>0</v>
      </c>
      <c r="E109" s="33">
        <v>0</v>
      </c>
      <c r="F109" s="34">
        <f t="shared" si="6"/>
        <v>0</v>
      </c>
      <c r="G109" s="35">
        <v>0</v>
      </c>
      <c r="H109" s="36">
        <f t="shared" si="7"/>
        <v>0</v>
      </c>
      <c r="I109" s="37"/>
    </row>
    <row r="110" spans="1:9" x14ac:dyDescent="0.25">
      <c r="A110" t="s">
        <v>28</v>
      </c>
      <c r="B110" s="30">
        <v>5</v>
      </c>
      <c r="C110" s="31">
        <v>0</v>
      </c>
      <c r="D110" s="32">
        <v>0</v>
      </c>
      <c r="E110" s="33">
        <v>0</v>
      </c>
      <c r="F110" s="34">
        <f t="shared" si="6"/>
        <v>0</v>
      </c>
      <c r="G110" s="35">
        <v>900</v>
      </c>
      <c r="H110" s="36">
        <f t="shared" si="7"/>
        <v>0</v>
      </c>
      <c r="I110" s="37">
        <v>5</v>
      </c>
    </row>
    <row r="112" spans="1:9" ht="21" x14ac:dyDescent="0.35">
      <c r="A112" s="41" t="s">
        <v>83</v>
      </c>
      <c r="B112" s="40">
        <f>SUM(H3:H110)</f>
        <v>90356</v>
      </c>
    </row>
    <row r="113" spans="1:2" x14ac:dyDescent="0.25">
      <c r="B113" s="3"/>
    </row>
    <row r="115" spans="1:2" ht="21" x14ac:dyDescent="0.35">
      <c r="A115" s="4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9080-276F-4D5F-A770-A75D41D082CA}">
  <dimension ref="A2:S116"/>
  <sheetViews>
    <sheetView tabSelected="1" topLeftCell="A19" workbookViewId="0">
      <selection activeCell="K15" sqref="K15"/>
    </sheetView>
  </sheetViews>
  <sheetFormatPr baseColWidth="10" defaultRowHeight="15" x14ac:dyDescent="0.25"/>
  <cols>
    <col min="1" max="1" width="27.42578125" customWidth="1"/>
    <col min="2" max="2" width="13.42578125" customWidth="1"/>
  </cols>
  <sheetData>
    <row r="2" spans="1:9" x14ac:dyDescent="0.25">
      <c r="A2" s="1" t="s">
        <v>0</v>
      </c>
      <c r="B2" s="6" t="s">
        <v>84</v>
      </c>
      <c r="C2" s="9" t="s">
        <v>85</v>
      </c>
      <c r="D2" s="24" t="s">
        <v>86</v>
      </c>
      <c r="E2" s="27" t="s">
        <v>87</v>
      </c>
      <c r="F2" s="12" t="s">
        <v>88</v>
      </c>
      <c r="G2" s="21" t="s">
        <v>89</v>
      </c>
      <c r="H2" s="18" t="s">
        <v>90</v>
      </c>
      <c r="I2" s="15" t="s">
        <v>91</v>
      </c>
    </row>
    <row r="3" spans="1:9" x14ac:dyDescent="0.25">
      <c r="A3" t="s">
        <v>62</v>
      </c>
      <c r="B3" s="30">
        <v>7</v>
      </c>
      <c r="C3" s="31"/>
      <c r="D3" s="32">
        <v>0</v>
      </c>
      <c r="E3" s="33">
        <v>0</v>
      </c>
      <c r="F3" s="34">
        <f t="shared" ref="F3:F70" si="0">B3+C3-I3</f>
        <v>7</v>
      </c>
      <c r="G3" s="35">
        <v>3000</v>
      </c>
      <c r="H3" s="36">
        <f t="shared" ref="H3:H79" si="1">F3*G3</f>
        <v>21000</v>
      </c>
      <c r="I3" s="37"/>
    </row>
    <row r="4" spans="1:9" x14ac:dyDescent="0.25">
      <c r="A4" t="s">
        <v>78</v>
      </c>
      <c r="B4" s="30">
        <v>12</v>
      </c>
      <c r="C4" s="31"/>
      <c r="D4" s="32">
        <v>0</v>
      </c>
      <c r="E4" s="33">
        <v>0</v>
      </c>
      <c r="F4" s="34">
        <f t="shared" si="0"/>
        <v>12</v>
      </c>
      <c r="G4" s="35">
        <v>2000</v>
      </c>
      <c r="H4" s="36">
        <f t="shared" si="1"/>
        <v>24000</v>
      </c>
      <c r="I4" s="37"/>
    </row>
    <row r="5" spans="1:9" x14ac:dyDescent="0.25">
      <c r="A5" t="s">
        <v>14</v>
      </c>
      <c r="B5" s="30">
        <v>4</v>
      </c>
      <c r="C5" s="31">
        <v>6</v>
      </c>
      <c r="D5" s="32">
        <v>0</v>
      </c>
      <c r="E5" s="33">
        <v>0</v>
      </c>
      <c r="F5" s="34">
        <f t="shared" si="0"/>
        <v>10</v>
      </c>
      <c r="G5" s="35">
        <v>500</v>
      </c>
      <c r="H5" s="36">
        <f t="shared" si="1"/>
        <v>5000</v>
      </c>
      <c r="I5" s="37"/>
    </row>
    <row r="6" spans="1:9" x14ac:dyDescent="0.25">
      <c r="A6" t="s">
        <v>13</v>
      </c>
      <c r="B6" s="30">
        <v>17</v>
      </c>
      <c r="C6" s="31"/>
      <c r="D6" s="32">
        <v>0</v>
      </c>
      <c r="E6" s="33">
        <v>0</v>
      </c>
      <c r="F6" s="34">
        <f t="shared" si="0"/>
        <v>17</v>
      </c>
      <c r="G6" s="35">
        <v>300</v>
      </c>
      <c r="H6" s="36">
        <f t="shared" si="1"/>
        <v>5100</v>
      </c>
      <c r="I6" s="37"/>
    </row>
    <row r="7" spans="1:9" x14ac:dyDescent="0.25">
      <c r="A7" t="s">
        <v>17</v>
      </c>
      <c r="B7" s="30">
        <v>6</v>
      </c>
      <c r="C7" s="31"/>
      <c r="D7" s="32">
        <v>0</v>
      </c>
      <c r="E7" s="33">
        <v>0</v>
      </c>
      <c r="F7" s="34">
        <f t="shared" si="0"/>
        <v>6</v>
      </c>
      <c r="G7" s="35">
        <v>950</v>
      </c>
      <c r="H7" s="36">
        <f t="shared" si="1"/>
        <v>5700</v>
      </c>
      <c r="I7" s="37"/>
    </row>
    <row r="8" spans="1:9" x14ac:dyDescent="0.25">
      <c r="A8" t="s">
        <v>30</v>
      </c>
      <c r="B8" s="30">
        <v>19</v>
      </c>
      <c r="C8" s="31"/>
      <c r="D8" s="32">
        <v>0</v>
      </c>
      <c r="E8" s="33">
        <v>0</v>
      </c>
      <c r="F8" s="34">
        <f t="shared" si="0"/>
        <v>19</v>
      </c>
      <c r="G8" s="35">
        <v>800</v>
      </c>
      <c r="H8" s="36">
        <f t="shared" si="1"/>
        <v>15200</v>
      </c>
      <c r="I8" s="37"/>
    </row>
    <row r="9" spans="1:9" x14ac:dyDescent="0.25">
      <c r="A9" t="s">
        <v>73</v>
      </c>
      <c r="B9" s="30">
        <v>8</v>
      </c>
      <c r="C9" s="31"/>
      <c r="D9" s="32">
        <v>0</v>
      </c>
      <c r="E9" s="33">
        <v>0</v>
      </c>
      <c r="F9" s="34">
        <f t="shared" si="0"/>
        <v>8</v>
      </c>
      <c r="G9" s="35">
        <v>1400</v>
      </c>
      <c r="H9" s="36">
        <f t="shared" si="1"/>
        <v>11200</v>
      </c>
      <c r="I9" s="37"/>
    </row>
    <row r="10" spans="1:9" x14ac:dyDescent="0.25">
      <c r="A10" t="s">
        <v>19</v>
      </c>
      <c r="B10" s="38"/>
      <c r="C10" s="31"/>
      <c r="D10" s="32">
        <v>0</v>
      </c>
      <c r="E10" s="33">
        <v>0</v>
      </c>
      <c r="F10" s="34">
        <f t="shared" si="0"/>
        <v>0</v>
      </c>
      <c r="G10" s="35">
        <v>1200</v>
      </c>
      <c r="H10" s="36">
        <f t="shared" si="1"/>
        <v>0</v>
      </c>
      <c r="I10" s="37"/>
    </row>
    <row r="11" spans="1:9" x14ac:dyDescent="0.25">
      <c r="A11" t="s">
        <v>135</v>
      </c>
      <c r="B11" s="38">
        <v>0</v>
      </c>
      <c r="C11" s="31">
        <v>1</v>
      </c>
      <c r="D11" s="32"/>
      <c r="E11" s="33"/>
      <c r="F11" s="34">
        <v>1</v>
      </c>
      <c r="G11" s="35">
        <v>550</v>
      </c>
      <c r="H11" s="36">
        <f t="shared" si="1"/>
        <v>550</v>
      </c>
      <c r="I11" s="37">
        <v>0</v>
      </c>
    </row>
    <row r="12" spans="1:9" x14ac:dyDescent="0.25">
      <c r="A12" t="s">
        <v>22</v>
      </c>
      <c r="B12" s="30">
        <v>11</v>
      </c>
      <c r="C12" s="31"/>
      <c r="D12" s="32">
        <v>0</v>
      </c>
      <c r="E12" s="33">
        <v>0</v>
      </c>
      <c r="F12" s="34">
        <f t="shared" si="0"/>
        <v>11</v>
      </c>
      <c r="G12" s="35">
        <v>1800</v>
      </c>
      <c r="H12" s="36">
        <f t="shared" si="1"/>
        <v>19800</v>
      </c>
      <c r="I12" s="37"/>
    </row>
    <row r="13" spans="1:9" x14ac:dyDescent="0.25">
      <c r="A13" t="s">
        <v>103</v>
      </c>
      <c r="B13" s="30"/>
      <c r="C13" s="31"/>
      <c r="D13" s="32">
        <v>0</v>
      </c>
      <c r="E13" s="33">
        <v>0</v>
      </c>
      <c r="F13" s="34">
        <f t="shared" si="0"/>
        <v>0</v>
      </c>
      <c r="G13" s="35">
        <v>600</v>
      </c>
      <c r="H13" s="36">
        <f t="shared" si="1"/>
        <v>0</v>
      </c>
      <c r="I13" s="37"/>
    </row>
    <row r="14" spans="1:9" x14ac:dyDescent="0.25">
      <c r="A14" t="s">
        <v>117</v>
      </c>
      <c r="B14" s="30">
        <v>16</v>
      </c>
      <c r="C14" s="31"/>
      <c r="D14" s="32">
        <v>0</v>
      </c>
      <c r="E14" s="33">
        <v>0</v>
      </c>
      <c r="F14" s="34">
        <f>B14+C14-I14</f>
        <v>16</v>
      </c>
      <c r="G14" s="35">
        <v>600</v>
      </c>
      <c r="H14" s="36">
        <f t="shared" si="1"/>
        <v>9600</v>
      </c>
      <c r="I14" s="37"/>
    </row>
    <row r="15" spans="1:9" x14ac:dyDescent="0.25">
      <c r="A15" t="s">
        <v>126</v>
      </c>
      <c r="B15" s="30">
        <v>16</v>
      </c>
      <c r="C15" s="31"/>
      <c r="D15" s="32">
        <v>0</v>
      </c>
      <c r="E15" s="33">
        <v>0</v>
      </c>
      <c r="F15" s="34">
        <f>B15+C15-I15</f>
        <v>16</v>
      </c>
      <c r="G15" s="35">
        <v>700</v>
      </c>
      <c r="H15" s="36">
        <f t="shared" si="1"/>
        <v>11200</v>
      </c>
      <c r="I15" s="37"/>
    </row>
    <row r="16" spans="1:9" x14ac:dyDescent="0.25">
      <c r="A16" t="s">
        <v>116</v>
      </c>
      <c r="B16" s="30">
        <v>20</v>
      </c>
      <c r="C16" s="31"/>
      <c r="D16" s="32">
        <v>0</v>
      </c>
      <c r="E16" s="33">
        <v>0</v>
      </c>
      <c r="F16" s="34">
        <f t="shared" si="0"/>
        <v>20</v>
      </c>
      <c r="G16" s="35">
        <v>650</v>
      </c>
      <c r="H16" s="36">
        <f t="shared" si="1"/>
        <v>13000</v>
      </c>
      <c r="I16" s="37"/>
    </row>
    <row r="17" spans="1:9" x14ac:dyDescent="0.25">
      <c r="A17" t="s">
        <v>118</v>
      </c>
      <c r="B17" s="30">
        <v>11</v>
      </c>
      <c r="C17" s="31">
        <v>10</v>
      </c>
      <c r="D17" s="32">
        <v>0</v>
      </c>
      <c r="E17" s="33">
        <v>0</v>
      </c>
      <c r="F17" s="34">
        <f t="shared" si="0"/>
        <v>21</v>
      </c>
      <c r="G17" s="35">
        <v>600</v>
      </c>
      <c r="H17" s="36">
        <f t="shared" si="1"/>
        <v>12600</v>
      </c>
      <c r="I17" s="37"/>
    </row>
    <row r="18" spans="1:9" x14ac:dyDescent="0.25">
      <c r="A18" t="s">
        <v>10</v>
      </c>
      <c r="B18" s="38"/>
      <c r="C18" s="31"/>
      <c r="D18" s="32">
        <v>0</v>
      </c>
      <c r="E18" s="33">
        <v>0</v>
      </c>
      <c r="F18" s="34">
        <f t="shared" si="0"/>
        <v>0</v>
      </c>
      <c r="G18" s="35">
        <v>550</v>
      </c>
      <c r="H18" s="36">
        <f t="shared" si="1"/>
        <v>0</v>
      </c>
      <c r="I18" s="37"/>
    </row>
    <row r="19" spans="1:9" x14ac:dyDescent="0.25">
      <c r="A19" t="s">
        <v>12</v>
      </c>
      <c r="B19" s="38"/>
      <c r="C19" s="31"/>
      <c r="D19" s="32">
        <v>0</v>
      </c>
      <c r="E19" s="33">
        <v>0</v>
      </c>
      <c r="F19" s="34">
        <f t="shared" si="0"/>
        <v>0</v>
      </c>
      <c r="G19" s="35">
        <v>550</v>
      </c>
      <c r="H19" s="36">
        <f t="shared" si="1"/>
        <v>0</v>
      </c>
      <c r="I19" s="37"/>
    </row>
    <row r="20" spans="1:9" x14ac:dyDescent="0.25">
      <c r="A20" t="s">
        <v>11</v>
      </c>
      <c r="B20" s="38"/>
      <c r="C20" s="31"/>
      <c r="D20" s="32">
        <v>0</v>
      </c>
      <c r="E20" s="33">
        <v>0</v>
      </c>
      <c r="F20" s="34">
        <f t="shared" si="0"/>
        <v>0</v>
      </c>
      <c r="G20" s="35">
        <v>550</v>
      </c>
      <c r="H20" s="36">
        <f t="shared" si="1"/>
        <v>0</v>
      </c>
      <c r="I20" s="37"/>
    </row>
    <row r="21" spans="1:9" x14ac:dyDescent="0.25">
      <c r="A21" t="s">
        <v>29</v>
      </c>
      <c r="B21" s="30">
        <v>3</v>
      </c>
      <c r="C21" s="31"/>
      <c r="D21" s="32">
        <v>0</v>
      </c>
      <c r="E21" s="33">
        <v>0</v>
      </c>
      <c r="F21" s="34">
        <f t="shared" si="0"/>
        <v>3</v>
      </c>
      <c r="G21" s="35">
        <v>1000</v>
      </c>
      <c r="H21" s="36">
        <f t="shared" si="1"/>
        <v>3000</v>
      </c>
      <c r="I21" s="37"/>
    </row>
    <row r="22" spans="1:9" x14ac:dyDescent="0.25">
      <c r="A22" t="s">
        <v>69</v>
      </c>
      <c r="B22" s="30"/>
      <c r="C22" s="31"/>
      <c r="D22" s="32">
        <v>0</v>
      </c>
      <c r="E22" s="33">
        <v>0</v>
      </c>
      <c r="F22" s="34">
        <f t="shared" si="0"/>
        <v>0</v>
      </c>
      <c r="G22" s="35">
        <v>80</v>
      </c>
      <c r="H22" s="36">
        <f t="shared" si="1"/>
        <v>0</v>
      </c>
      <c r="I22" s="37"/>
    </row>
    <row r="23" spans="1:9" x14ac:dyDescent="0.25">
      <c r="A23" t="s">
        <v>67</v>
      </c>
      <c r="B23" s="38"/>
      <c r="C23" s="31"/>
      <c r="D23" s="32">
        <v>0</v>
      </c>
      <c r="E23" s="33">
        <v>0</v>
      </c>
      <c r="F23" s="34">
        <f t="shared" si="0"/>
        <v>0</v>
      </c>
      <c r="G23" s="35">
        <v>950</v>
      </c>
      <c r="H23" s="36">
        <f t="shared" si="1"/>
        <v>0</v>
      </c>
      <c r="I23" s="37"/>
    </row>
    <row r="24" spans="1:9" x14ac:dyDescent="0.25">
      <c r="A24" t="s">
        <v>125</v>
      </c>
      <c r="B24" s="30">
        <v>75</v>
      </c>
      <c r="C24" s="31"/>
      <c r="D24" s="32">
        <v>0</v>
      </c>
      <c r="E24" s="33">
        <v>0</v>
      </c>
      <c r="F24" s="34">
        <f t="shared" si="0"/>
        <v>75</v>
      </c>
      <c r="G24" s="35">
        <v>750</v>
      </c>
      <c r="H24" s="36">
        <f>F24*G24</f>
        <v>56250</v>
      </c>
      <c r="I24" s="37"/>
    </row>
    <row r="25" spans="1:9" x14ac:dyDescent="0.25">
      <c r="A25" t="s">
        <v>66</v>
      </c>
      <c r="B25" s="38">
        <v>8</v>
      </c>
      <c r="C25" s="31"/>
      <c r="D25" s="32">
        <v>0</v>
      </c>
      <c r="E25" s="33">
        <v>0</v>
      </c>
      <c r="F25" s="34">
        <f t="shared" si="0"/>
        <v>8</v>
      </c>
      <c r="G25" s="35">
        <v>1400</v>
      </c>
      <c r="H25" s="36">
        <f t="shared" si="1"/>
        <v>11200</v>
      </c>
      <c r="I25" s="37"/>
    </row>
    <row r="26" spans="1:9" x14ac:dyDescent="0.25">
      <c r="A26" t="s">
        <v>65</v>
      </c>
      <c r="B26" s="30"/>
      <c r="C26" s="31"/>
      <c r="D26" s="32">
        <v>0</v>
      </c>
      <c r="E26" s="33">
        <v>0</v>
      </c>
      <c r="F26" s="34">
        <f t="shared" si="0"/>
        <v>0</v>
      </c>
      <c r="G26" s="35">
        <v>750</v>
      </c>
      <c r="H26" s="36">
        <f t="shared" si="1"/>
        <v>0</v>
      </c>
      <c r="I26" s="37"/>
    </row>
    <row r="27" spans="1:9" x14ac:dyDescent="0.25">
      <c r="A27" t="s">
        <v>123</v>
      </c>
      <c r="B27" s="30">
        <v>6</v>
      </c>
      <c r="C27" s="31"/>
      <c r="D27" s="32">
        <v>0</v>
      </c>
      <c r="E27" s="33">
        <v>0</v>
      </c>
      <c r="F27" s="34">
        <f t="shared" si="0"/>
        <v>6</v>
      </c>
      <c r="G27" s="35">
        <v>650</v>
      </c>
      <c r="H27" s="36">
        <f t="shared" si="1"/>
        <v>3900</v>
      </c>
      <c r="I27" s="37"/>
    </row>
    <row r="28" spans="1:9" x14ac:dyDescent="0.25">
      <c r="A28" t="s">
        <v>75</v>
      </c>
      <c r="B28" s="30">
        <v>110</v>
      </c>
      <c r="C28" s="31"/>
      <c r="D28" s="32">
        <v>0</v>
      </c>
      <c r="E28" s="33">
        <v>0</v>
      </c>
      <c r="F28" s="34">
        <f t="shared" si="0"/>
        <v>110</v>
      </c>
      <c r="G28" s="35">
        <v>70</v>
      </c>
      <c r="H28" s="36">
        <f t="shared" si="1"/>
        <v>7700</v>
      </c>
      <c r="I28" s="37"/>
    </row>
    <row r="29" spans="1:9" x14ac:dyDescent="0.25">
      <c r="A29" t="s">
        <v>130</v>
      </c>
      <c r="B29" s="30">
        <v>15</v>
      </c>
      <c r="C29" s="31"/>
      <c r="D29" s="32">
        <v>0</v>
      </c>
      <c r="E29" s="33">
        <v>0</v>
      </c>
      <c r="F29" s="34">
        <f t="shared" si="0"/>
        <v>15</v>
      </c>
      <c r="G29" s="35">
        <v>1000</v>
      </c>
      <c r="H29" s="36">
        <f t="shared" si="1"/>
        <v>15000</v>
      </c>
      <c r="I29" s="37"/>
    </row>
    <row r="30" spans="1:9" x14ac:dyDescent="0.25">
      <c r="A30" t="s">
        <v>71</v>
      </c>
      <c r="B30" s="30">
        <v>10</v>
      </c>
      <c r="C30" s="31"/>
      <c r="D30" s="32">
        <v>0</v>
      </c>
      <c r="E30" s="33">
        <v>0</v>
      </c>
      <c r="F30" s="34">
        <f t="shared" si="0"/>
        <v>10</v>
      </c>
      <c r="G30" s="35">
        <v>1100</v>
      </c>
      <c r="H30" s="36">
        <f t="shared" si="1"/>
        <v>11000</v>
      </c>
      <c r="I30" s="37"/>
    </row>
    <row r="31" spans="1:9" x14ac:dyDescent="0.25">
      <c r="A31" t="s">
        <v>25</v>
      </c>
      <c r="B31" s="30">
        <v>5</v>
      </c>
      <c r="C31" s="31"/>
      <c r="D31" s="32">
        <v>0</v>
      </c>
      <c r="E31" s="33">
        <v>0</v>
      </c>
      <c r="F31" s="34">
        <f t="shared" si="0"/>
        <v>5</v>
      </c>
      <c r="G31" s="35">
        <v>800</v>
      </c>
      <c r="H31" s="36">
        <f t="shared" si="1"/>
        <v>4000</v>
      </c>
      <c r="I31" s="37"/>
    </row>
    <row r="32" spans="1:9" x14ac:dyDescent="0.25">
      <c r="A32" t="s">
        <v>9</v>
      </c>
      <c r="B32" s="30">
        <v>18</v>
      </c>
      <c r="C32" s="31"/>
      <c r="D32" s="32">
        <v>0</v>
      </c>
      <c r="E32" s="33">
        <v>0</v>
      </c>
      <c r="F32" s="34">
        <f t="shared" si="0"/>
        <v>18</v>
      </c>
      <c r="G32" s="35">
        <v>600</v>
      </c>
      <c r="H32" s="36">
        <f t="shared" si="1"/>
        <v>10800</v>
      </c>
      <c r="I32" s="37"/>
    </row>
    <row r="33" spans="1:9" x14ac:dyDescent="0.25">
      <c r="A33" t="s">
        <v>115</v>
      </c>
      <c r="B33" s="30">
        <v>16</v>
      </c>
      <c r="C33" s="31"/>
      <c r="D33" s="32">
        <v>0</v>
      </c>
      <c r="E33" s="33">
        <v>0</v>
      </c>
      <c r="F33" s="34">
        <f t="shared" si="0"/>
        <v>16</v>
      </c>
      <c r="G33" s="35">
        <v>650</v>
      </c>
      <c r="H33" s="36">
        <f t="shared" si="1"/>
        <v>10400</v>
      </c>
      <c r="I33" s="37"/>
    </row>
    <row r="34" spans="1:9" x14ac:dyDescent="0.25">
      <c r="A34" t="s">
        <v>131</v>
      </c>
      <c r="B34" s="30">
        <v>9</v>
      </c>
      <c r="C34" s="31"/>
      <c r="D34" s="32">
        <v>0</v>
      </c>
      <c r="E34" s="33">
        <v>0</v>
      </c>
      <c r="F34" s="34">
        <f t="shared" si="0"/>
        <v>9</v>
      </c>
      <c r="G34" s="35">
        <v>1150</v>
      </c>
      <c r="H34" s="36">
        <f t="shared" si="1"/>
        <v>10350</v>
      </c>
      <c r="I34" s="37"/>
    </row>
    <row r="35" spans="1:9" x14ac:dyDescent="0.25">
      <c r="A35" t="s">
        <v>60</v>
      </c>
      <c r="B35" s="38"/>
      <c r="C35" s="31"/>
      <c r="D35" s="32">
        <v>0</v>
      </c>
      <c r="E35" s="33">
        <v>0</v>
      </c>
      <c r="F35" s="34">
        <f t="shared" si="0"/>
        <v>0</v>
      </c>
      <c r="G35" s="35">
        <v>0</v>
      </c>
      <c r="H35" s="36">
        <f t="shared" si="1"/>
        <v>0</v>
      </c>
      <c r="I35" s="37"/>
    </row>
    <row r="36" spans="1:9" x14ac:dyDescent="0.25">
      <c r="A36" t="s">
        <v>41</v>
      </c>
      <c r="B36" s="30">
        <v>79</v>
      </c>
      <c r="C36" s="31"/>
      <c r="D36" s="32">
        <v>0</v>
      </c>
      <c r="E36" s="33">
        <v>0</v>
      </c>
      <c r="F36" s="34">
        <f t="shared" si="0"/>
        <v>79</v>
      </c>
      <c r="G36" s="35">
        <v>120</v>
      </c>
      <c r="H36" s="36">
        <f t="shared" si="1"/>
        <v>9480</v>
      </c>
      <c r="I36" s="37"/>
    </row>
    <row r="37" spans="1:9" x14ac:dyDescent="0.25">
      <c r="A37" t="s">
        <v>42</v>
      </c>
      <c r="B37" s="38"/>
      <c r="C37" s="31"/>
      <c r="D37" s="32">
        <v>0</v>
      </c>
      <c r="E37" s="33">
        <v>0</v>
      </c>
      <c r="F37" s="34">
        <f t="shared" si="0"/>
        <v>0</v>
      </c>
      <c r="G37" s="35">
        <v>1400</v>
      </c>
      <c r="H37" s="36">
        <f t="shared" si="1"/>
        <v>0</v>
      </c>
      <c r="I37" s="37"/>
    </row>
    <row r="38" spans="1:9" x14ac:dyDescent="0.25">
      <c r="A38" t="s">
        <v>82</v>
      </c>
      <c r="B38" s="38"/>
      <c r="C38" s="31"/>
      <c r="D38" s="32">
        <v>0</v>
      </c>
      <c r="E38" s="33">
        <v>0</v>
      </c>
      <c r="F38" s="34">
        <f t="shared" si="0"/>
        <v>0</v>
      </c>
      <c r="G38" s="35">
        <v>380</v>
      </c>
      <c r="H38" s="36">
        <f t="shared" si="1"/>
        <v>0</v>
      </c>
      <c r="I38" s="37"/>
    </row>
    <row r="39" spans="1:9" x14ac:dyDescent="0.25">
      <c r="A39" t="s">
        <v>32</v>
      </c>
      <c r="B39" s="30">
        <v>11</v>
      </c>
      <c r="C39" s="31"/>
      <c r="D39" s="32">
        <v>0</v>
      </c>
      <c r="E39" s="33">
        <v>0</v>
      </c>
      <c r="F39" s="34">
        <f t="shared" si="0"/>
        <v>11</v>
      </c>
      <c r="G39" s="35">
        <v>250</v>
      </c>
      <c r="H39" s="36">
        <f t="shared" si="1"/>
        <v>2750</v>
      </c>
      <c r="I39" s="37"/>
    </row>
    <row r="40" spans="1:9" x14ac:dyDescent="0.25">
      <c r="A40" t="s">
        <v>36</v>
      </c>
      <c r="B40" s="30">
        <v>15</v>
      </c>
      <c r="C40" s="31"/>
      <c r="D40" s="32">
        <v>0</v>
      </c>
      <c r="E40" s="33">
        <v>0</v>
      </c>
      <c r="F40" s="34">
        <f t="shared" si="0"/>
        <v>15</v>
      </c>
      <c r="G40" s="35">
        <v>350</v>
      </c>
      <c r="H40" s="36">
        <f t="shared" si="1"/>
        <v>5250</v>
      </c>
      <c r="I40" s="37"/>
    </row>
    <row r="41" spans="1:9" x14ac:dyDescent="0.25">
      <c r="A41" t="s">
        <v>114</v>
      </c>
      <c r="B41" s="30">
        <v>30</v>
      </c>
      <c r="C41" s="31"/>
      <c r="D41" s="32">
        <v>0</v>
      </c>
      <c r="E41" s="33">
        <v>0</v>
      </c>
      <c r="F41" s="34">
        <f t="shared" si="0"/>
        <v>30</v>
      </c>
      <c r="G41" s="35">
        <v>500</v>
      </c>
      <c r="H41" s="36">
        <f t="shared" si="1"/>
        <v>15000</v>
      </c>
      <c r="I41" s="37"/>
    </row>
    <row r="42" spans="1:9" x14ac:dyDescent="0.25">
      <c r="A42" t="s">
        <v>48</v>
      </c>
      <c r="B42" s="30">
        <v>13</v>
      </c>
      <c r="C42" s="31"/>
      <c r="D42" s="32">
        <v>0</v>
      </c>
      <c r="E42" s="33">
        <v>0</v>
      </c>
      <c r="F42" s="34">
        <f t="shared" si="0"/>
        <v>13</v>
      </c>
      <c r="G42" s="35">
        <v>450</v>
      </c>
      <c r="H42" s="36">
        <f t="shared" si="1"/>
        <v>5850</v>
      </c>
      <c r="I42" s="37"/>
    </row>
    <row r="43" spans="1:9" x14ac:dyDescent="0.25">
      <c r="A43" t="s">
        <v>121</v>
      </c>
      <c r="B43" s="30">
        <v>6</v>
      </c>
      <c r="C43" s="31"/>
      <c r="D43" s="32">
        <v>0</v>
      </c>
      <c r="E43" s="33">
        <v>0</v>
      </c>
      <c r="F43" s="34">
        <f t="shared" si="0"/>
        <v>6</v>
      </c>
      <c r="G43" s="35">
        <v>2200</v>
      </c>
      <c r="H43" s="36">
        <f t="shared" si="1"/>
        <v>13200</v>
      </c>
      <c r="I43" s="37"/>
    </row>
    <row r="44" spans="1:9" x14ac:dyDescent="0.25">
      <c r="A44" t="s">
        <v>122</v>
      </c>
      <c r="B44" s="30">
        <v>45</v>
      </c>
      <c r="C44" s="31"/>
      <c r="D44" s="32">
        <v>0</v>
      </c>
      <c r="E44" s="33">
        <v>0</v>
      </c>
      <c r="F44" s="34">
        <f t="shared" si="0"/>
        <v>45</v>
      </c>
      <c r="G44" s="35">
        <v>320</v>
      </c>
      <c r="H44" s="36">
        <f t="shared" si="1"/>
        <v>14400</v>
      </c>
      <c r="I44" s="37"/>
    </row>
    <row r="45" spans="1:9" x14ac:dyDescent="0.25">
      <c r="A45" t="s">
        <v>40</v>
      </c>
      <c r="B45" s="30">
        <v>8</v>
      </c>
      <c r="C45" s="31"/>
      <c r="D45" s="32">
        <v>0</v>
      </c>
      <c r="E45" s="33">
        <v>0</v>
      </c>
      <c r="F45" s="34">
        <f t="shared" si="0"/>
        <v>8</v>
      </c>
      <c r="G45" s="35">
        <v>1100</v>
      </c>
      <c r="H45" s="36">
        <f t="shared" si="1"/>
        <v>8800</v>
      </c>
      <c r="I45" s="37"/>
    </row>
    <row r="46" spans="1:9" x14ac:dyDescent="0.25">
      <c r="A46" t="s">
        <v>81</v>
      </c>
      <c r="B46" s="30">
        <v>20</v>
      </c>
      <c r="C46" s="31"/>
      <c r="D46" s="32">
        <v>0</v>
      </c>
      <c r="E46" s="33">
        <v>0</v>
      </c>
      <c r="F46" s="34">
        <f t="shared" si="0"/>
        <v>20</v>
      </c>
      <c r="G46" s="35">
        <v>460</v>
      </c>
      <c r="H46" s="36">
        <f t="shared" si="1"/>
        <v>9200</v>
      </c>
      <c r="I46" s="37"/>
    </row>
    <row r="47" spans="1:9" x14ac:dyDescent="0.25">
      <c r="A47" t="s">
        <v>99</v>
      </c>
      <c r="B47" s="30">
        <v>109</v>
      </c>
      <c r="C47" s="31"/>
      <c r="D47" s="32">
        <v>0</v>
      </c>
      <c r="E47" s="33">
        <v>0</v>
      </c>
      <c r="F47" s="34">
        <f t="shared" si="0"/>
        <v>109</v>
      </c>
      <c r="G47" s="39">
        <v>220</v>
      </c>
      <c r="H47" s="36">
        <f t="shared" si="1"/>
        <v>23980</v>
      </c>
      <c r="I47" s="37"/>
    </row>
    <row r="48" spans="1:9" x14ac:dyDescent="0.25">
      <c r="A48" t="s">
        <v>70</v>
      </c>
      <c r="B48" s="30">
        <v>12</v>
      </c>
      <c r="C48" s="31"/>
      <c r="D48" s="32">
        <v>0</v>
      </c>
      <c r="E48" s="33">
        <v>0</v>
      </c>
      <c r="F48" s="34">
        <f t="shared" si="0"/>
        <v>12</v>
      </c>
      <c r="G48" s="35">
        <v>1300</v>
      </c>
      <c r="H48" s="36">
        <f t="shared" si="1"/>
        <v>15600</v>
      </c>
      <c r="I48" s="37"/>
    </row>
    <row r="49" spans="1:9" x14ac:dyDescent="0.25">
      <c r="A49" t="s">
        <v>76</v>
      </c>
      <c r="B49" s="30">
        <v>12</v>
      </c>
      <c r="C49" s="31"/>
      <c r="D49" s="32">
        <v>0</v>
      </c>
      <c r="E49" s="33">
        <v>0</v>
      </c>
      <c r="F49" s="34">
        <f t="shared" si="0"/>
        <v>12</v>
      </c>
      <c r="G49" s="35">
        <v>800</v>
      </c>
      <c r="H49" s="36">
        <f t="shared" si="1"/>
        <v>9600</v>
      </c>
      <c r="I49" s="37"/>
    </row>
    <row r="50" spans="1:9" x14ac:dyDescent="0.25">
      <c r="A50" t="s">
        <v>33</v>
      </c>
      <c r="B50" s="30">
        <v>17</v>
      </c>
      <c r="C50" s="31"/>
      <c r="D50" s="32">
        <v>0</v>
      </c>
      <c r="E50" s="33">
        <v>0</v>
      </c>
      <c r="F50" s="34">
        <f t="shared" si="0"/>
        <v>17</v>
      </c>
      <c r="G50" s="35">
        <v>20</v>
      </c>
      <c r="H50" s="36">
        <f t="shared" si="1"/>
        <v>340</v>
      </c>
      <c r="I50" s="37"/>
    </row>
    <row r="51" spans="1:9" x14ac:dyDescent="0.25">
      <c r="A51" t="s">
        <v>61</v>
      </c>
      <c r="B51" s="38"/>
      <c r="C51" s="31"/>
      <c r="D51" s="32">
        <v>0</v>
      </c>
      <c r="E51" s="33">
        <v>0</v>
      </c>
      <c r="F51" s="34">
        <f t="shared" si="0"/>
        <v>0</v>
      </c>
      <c r="G51" s="39">
        <v>400</v>
      </c>
      <c r="H51" s="36">
        <f t="shared" si="1"/>
        <v>0</v>
      </c>
      <c r="I51" s="37"/>
    </row>
    <row r="52" spans="1:9" x14ac:dyDescent="0.25">
      <c r="A52" t="s">
        <v>134</v>
      </c>
      <c r="B52" s="38">
        <v>28</v>
      </c>
      <c r="C52" s="31"/>
      <c r="D52" s="32">
        <v>0</v>
      </c>
      <c r="E52" s="33">
        <v>0</v>
      </c>
      <c r="F52" s="34">
        <f t="shared" si="0"/>
        <v>28</v>
      </c>
      <c r="G52" s="39">
        <v>430</v>
      </c>
      <c r="H52" s="36">
        <f t="shared" si="1"/>
        <v>12040</v>
      </c>
      <c r="I52" s="37"/>
    </row>
    <row r="53" spans="1:9" x14ac:dyDescent="0.25">
      <c r="A53" t="s">
        <v>98</v>
      </c>
      <c r="B53" s="30">
        <v>2.2000000000000002</v>
      </c>
      <c r="C53" s="31"/>
      <c r="D53" s="32">
        <v>0</v>
      </c>
      <c r="E53" s="33">
        <v>0</v>
      </c>
      <c r="F53" s="34">
        <f t="shared" si="0"/>
        <v>2.2000000000000002</v>
      </c>
      <c r="G53" s="39">
        <v>800</v>
      </c>
      <c r="H53" s="36">
        <f>F53*G53</f>
        <v>1760.0000000000002</v>
      </c>
      <c r="I53" s="37"/>
    </row>
    <row r="54" spans="1:9" x14ac:dyDescent="0.25">
      <c r="A54" t="s">
        <v>6</v>
      </c>
      <c r="B54" s="38"/>
      <c r="C54" s="31"/>
      <c r="D54" s="32">
        <v>0</v>
      </c>
      <c r="E54" s="33">
        <v>0</v>
      </c>
      <c r="F54" s="34">
        <f t="shared" si="0"/>
        <v>0</v>
      </c>
      <c r="G54" s="35">
        <v>550</v>
      </c>
      <c r="H54" s="36">
        <f t="shared" si="1"/>
        <v>0</v>
      </c>
      <c r="I54" s="37"/>
    </row>
    <row r="55" spans="1:9" x14ac:dyDescent="0.25">
      <c r="A55" t="s">
        <v>8</v>
      </c>
      <c r="B55" s="30">
        <v>12</v>
      </c>
      <c r="C55" s="31"/>
      <c r="D55" s="32">
        <v>0</v>
      </c>
      <c r="E55" s="33">
        <v>0</v>
      </c>
      <c r="F55" s="34">
        <f t="shared" si="0"/>
        <v>12</v>
      </c>
      <c r="G55" s="35">
        <v>550</v>
      </c>
      <c r="H55" s="36">
        <f t="shared" si="1"/>
        <v>6600</v>
      </c>
      <c r="I55" s="37"/>
    </row>
    <row r="56" spans="1:9" x14ac:dyDescent="0.25">
      <c r="A56" t="s">
        <v>108</v>
      </c>
      <c r="B56" s="38"/>
      <c r="C56" s="31"/>
      <c r="D56" s="32">
        <v>0</v>
      </c>
      <c r="E56" s="33">
        <v>0</v>
      </c>
      <c r="F56" s="34">
        <f t="shared" si="0"/>
        <v>0</v>
      </c>
      <c r="G56" s="35">
        <v>550</v>
      </c>
      <c r="H56" s="36">
        <f t="shared" si="1"/>
        <v>0</v>
      </c>
      <c r="I56" s="37"/>
    </row>
    <row r="57" spans="1:9" x14ac:dyDescent="0.25">
      <c r="A57" t="s">
        <v>109</v>
      </c>
      <c r="B57" s="38"/>
      <c r="C57" s="31"/>
      <c r="D57" s="32">
        <v>0</v>
      </c>
      <c r="E57" s="33">
        <v>0</v>
      </c>
      <c r="F57" s="34">
        <f t="shared" si="0"/>
        <v>0</v>
      </c>
      <c r="G57" s="35">
        <v>1400</v>
      </c>
      <c r="H57" s="36">
        <f t="shared" si="1"/>
        <v>0</v>
      </c>
      <c r="I57" s="37"/>
    </row>
    <row r="58" spans="1:9" x14ac:dyDescent="0.25">
      <c r="A58" t="s">
        <v>95</v>
      </c>
      <c r="B58" s="38"/>
      <c r="C58" s="31"/>
      <c r="D58" s="32">
        <v>0</v>
      </c>
      <c r="E58" s="33">
        <v>0</v>
      </c>
      <c r="F58" s="34">
        <f t="shared" si="0"/>
        <v>0</v>
      </c>
      <c r="G58" s="35">
        <v>1400</v>
      </c>
      <c r="H58" s="36">
        <f t="shared" si="1"/>
        <v>0</v>
      </c>
      <c r="I58" s="37"/>
    </row>
    <row r="59" spans="1:9" x14ac:dyDescent="0.25">
      <c r="A59" t="s">
        <v>106</v>
      </c>
      <c r="B59" s="30">
        <v>35</v>
      </c>
      <c r="C59" s="31"/>
      <c r="D59" s="32">
        <v>0</v>
      </c>
      <c r="E59" s="33">
        <v>0</v>
      </c>
      <c r="F59" s="34">
        <f t="shared" si="0"/>
        <v>35</v>
      </c>
      <c r="G59" s="35">
        <v>600</v>
      </c>
      <c r="H59" s="36">
        <f t="shared" si="1"/>
        <v>21000</v>
      </c>
      <c r="I59" s="37"/>
    </row>
    <row r="60" spans="1:9" x14ac:dyDescent="0.25">
      <c r="A60" t="s">
        <v>23</v>
      </c>
      <c r="B60" s="30">
        <v>8</v>
      </c>
      <c r="C60" s="31"/>
      <c r="D60" s="32">
        <v>0</v>
      </c>
      <c r="E60" s="33">
        <v>0</v>
      </c>
      <c r="F60" s="34">
        <f t="shared" si="0"/>
        <v>8</v>
      </c>
      <c r="G60" s="35">
        <v>1500</v>
      </c>
      <c r="H60" s="36">
        <f t="shared" si="1"/>
        <v>12000</v>
      </c>
      <c r="I60" s="37"/>
    </row>
    <row r="61" spans="1:9" x14ac:dyDescent="0.25">
      <c r="A61" t="s">
        <v>26</v>
      </c>
      <c r="B61" s="30">
        <v>6</v>
      </c>
      <c r="C61" s="31"/>
      <c r="D61" s="32">
        <v>0</v>
      </c>
      <c r="E61" s="33">
        <v>0</v>
      </c>
      <c r="F61" s="34">
        <f t="shared" si="0"/>
        <v>6</v>
      </c>
      <c r="G61" s="35">
        <v>1000</v>
      </c>
      <c r="H61" s="36">
        <f t="shared" si="1"/>
        <v>6000</v>
      </c>
      <c r="I61" s="37"/>
    </row>
    <row r="62" spans="1:9" x14ac:dyDescent="0.25">
      <c r="A62" t="s">
        <v>72</v>
      </c>
      <c r="B62" s="30">
        <v>7</v>
      </c>
      <c r="C62" s="31"/>
      <c r="D62" s="32">
        <v>0</v>
      </c>
      <c r="E62" s="33">
        <v>0</v>
      </c>
      <c r="F62" s="34">
        <f t="shared" si="0"/>
        <v>7</v>
      </c>
      <c r="G62" s="35">
        <v>1050</v>
      </c>
      <c r="H62" s="36">
        <f t="shared" si="1"/>
        <v>7350</v>
      </c>
      <c r="I62" s="37"/>
    </row>
    <row r="63" spans="1:9" x14ac:dyDescent="0.25">
      <c r="A63" t="s">
        <v>133</v>
      </c>
      <c r="B63" s="30">
        <v>8</v>
      </c>
      <c r="C63" s="31"/>
      <c r="D63" s="32">
        <v>0</v>
      </c>
      <c r="E63" s="33">
        <v>0</v>
      </c>
      <c r="F63" s="34">
        <f t="shared" si="0"/>
        <v>8</v>
      </c>
      <c r="G63" s="35">
        <v>5000</v>
      </c>
      <c r="H63" s="36">
        <f t="shared" si="1"/>
        <v>40000</v>
      </c>
      <c r="I63" s="37"/>
    </row>
    <row r="64" spans="1:9" x14ac:dyDescent="0.25">
      <c r="A64" t="s">
        <v>132</v>
      </c>
      <c r="B64" s="38">
        <v>6</v>
      </c>
      <c r="C64" s="31"/>
      <c r="D64" s="32">
        <v>0</v>
      </c>
      <c r="E64" s="33">
        <v>0</v>
      </c>
      <c r="F64" s="34">
        <f t="shared" si="0"/>
        <v>6</v>
      </c>
      <c r="G64" s="35">
        <v>1800</v>
      </c>
      <c r="H64" s="36">
        <f t="shared" si="1"/>
        <v>10800</v>
      </c>
      <c r="I64" s="37"/>
    </row>
    <row r="65" spans="1:9" x14ac:dyDescent="0.25">
      <c r="A65" t="s">
        <v>3</v>
      </c>
      <c r="B65" s="30">
        <v>17</v>
      </c>
      <c r="C65" s="31"/>
      <c r="D65" s="32">
        <v>0</v>
      </c>
      <c r="E65" s="33">
        <v>0</v>
      </c>
      <c r="F65" s="34">
        <f t="shared" si="0"/>
        <v>17</v>
      </c>
      <c r="G65" s="35">
        <v>550</v>
      </c>
      <c r="H65" s="36">
        <f t="shared" si="1"/>
        <v>9350</v>
      </c>
      <c r="I65" s="37"/>
    </row>
    <row r="66" spans="1:9" x14ac:dyDescent="0.25">
      <c r="A66" t="s">
        <v>68</v>
      </c>
      <c r="B66" s="30">
        <v>41</v>
      </c>
      <c r="C66" s="31"/>
      <c r="D66" s="32">
        <v>0</v>
      </c>
      <c r="E66" s="33">
        <v>0</v>
      </c>
      <c r="F66" s="34">
        <f t="shared" si="0"/>
        <v>41</v>
      </c>
      <c r="G66" s="35">
        <v>80</v>
      </c>
      <c r="H66" s="36">
        <f t="shared" si="1"/>
        <v>3280</v>
      </c>
      <c r="I66" s="37"/>
    </row>
    <row r="67" spans="1:9" x14ac:dyDescent="0.25">
      <c r="A67" t="s">
        <v>101</v>
      </c>
      <c r="B67" s="30">
        <v>19</v>
      </c>
      <c r="C67" s="31"/>
      <c r="D67" s="32">
        <v>0</v>
      </c>
      <c r="E67" s="33">
        <v>0</v>
      </c>
      <c r="F67" s="34">
        <f t="shared" si="0"/>
        <v>19</v>
      </c>
      <c r="G67" s="35">
        <v>850</v>
      </c>
      <c r="H67" s="36">
        <f t="shared" si="1"/>
        <v>16150</v>
      </c>
      <c r="I67" s="37"/>
    </row>
    <row r="68" spans="1:9" x14ac:dyDescent="0.25">
      <c r="A68" t="s">
        <v>102</v>
      </c>
      <c r="B68" s="30">
        <v>11</v>
      </c>
      <c r="C68" s="31"/>
      <c r="D68" s="32">
        <v>0</v>
      </c>
      <c r="E68" s="33">
        <v>0</v>
      </c>
      <c r="F68" s="34">
        <f t="shared" si="0"/>
        <v>11</v>
      </c>
      <c r="G68" s="35">
        <v>1200</v>
      </c>
      <c r="H68" s="36">
        <f t="shared" si="1"/>
        <v>13200</v>
      </c>
      <c r="I68" s="37"/>
    </row>
    <row r="69" spans="1:9" x14ac:dyDescent="0.25">
      <c r="A69" t="s">
        <v>20</v>
      </c>
      <c r="B69" s="30">
        <v>7</v>
      </c>
      <c r="C69" s="31"/>
      <c r="D69" s="32">
        <v>0</v>
      </c>
      <c r="E69" s="33">
        <v>0</v>
      </c>
      <c r="F69" s="34">
        <f t="shared" si="0"/>
        <v>7</v>
      </c>
      <c r="G69" s="35">
        <v>1250</v>
      </c>
      <c r="H69" s="36">
        <f t="shared" si="1"/>
        <v>8750</v>
      </c>
      <c r="I69" s="37"/>
    </row>
    <row r="70" spans="1:9" x14ac:dyDescent="0.25">
      <c r="A70" t="s">
        <v>120</v>
      </c>
      <c r="B70" s="30">
        <v>10</v>
      </c>
      <c r="C70" s="31"/>
      <c r="D70" s="32">
        <v>0</v>
      </c>
      <c r="E70" s="33">
        <v>0</v>
      </c>
      <c r="F70" s="34">
        <f t="shared" si="0"/>
        <v>10</v>
      </c>
      <c r="G70" s="35">
        <v>1600</v>
      </c>
      <c r="H70" s="36">
        <f t="shared" si="1"/>
        <v>16000</v>
      </c>
      <c r="I70" s="37"/>
    </row>
    <row r="71" spans="1:9" x14ac:dyDescent="0.25">
      <c r="A71" t="s">
        <v>59</v>
      </c>
      <c r="B71" s="30">
        <v>18</v>
      </c>
      <c r="C71" s="31"/>
      <c r="D71" s="32">
        <v>0</v>
      </c>
      <c r="E71" s="33">
        <v>0</v>
      </c>
      <c r="F71" s="34">
        <f t="shared" ref="F71:F111" si="2">B71+C71-I71</f>
        <v>18</v>
      </c>
      <c r="G71" s="35">
        <v>180</v>
      </c>
      <c r="H71" s="36">
        <f t="shared" si="1"/>
        <v>3240</v>
      </c>
      <c r="I71" s="37"/>
    </row>
    <row r="72" spans="1:9" x14ac:dyDescent="0.25">
      <c r="A72" t="s">
        <v>52</v>
      </c>
      <c r="B72" s="30">
        <v>18</v>
      </c>
      <c r="C72" s="31"/>
      <c r="D72" s="32">
        <v>0</v>
      </c>
      <c r="E72" s="33">
        <v>0</v>
      </c>
      <c r="F72" s="34">
        <f t="shared" si="2"/>
        <v>18</v>
      </c>
      <c r="G72" s="35">
        <v>200</v>
      </c>
      <c r="H72" s="36">
        <f t="shared" si="1"/>
        <v>3600</v>
      </c>
      <c r="I72" s="37"/>
    </row>
    <row r="73" spans="1:9" x14ac:dyDescent="0.25">
      <c r="A73" t="s">
        <v>49</v>
      </c>
      <c r="B73" s="30">
        <v>36</v>
      </c>
      <c r="C73" s="31"/>
      <c r="D73" s="32">
        <v>0</v>
      </c>
      <c r="E73" s="33">
        <v>0</v>
      </c>
      <c r="F73" s="34">
        <f t="shared" si="2"/>
        <v>36</v>
      </c>
      <c r="G73" s="35">
        <v>200</v>
      </c>
      <c r="H73" s="36">
        <f t="shared" si="1"/>
        <v>7200</v>
      </c>
      <c r="I73" s="37"/>
    </row>
    <row r="74" spans="1:9" x14ac:dyDescent="0.25">
      <c r="A74" t="s">
        <v>58</v>
      </c>
      <c r="B74" s="30">
        <v>19</v>
      </c>
      <c r="C74" s="31"/>
      <c r="D74" s="32">
        <v>0</v>
      </c>
      <c r="E74" s="33">
        <v>0</v>
      </c>
      <c r="F74" s="34">
        <f t="shared" si="2"/>
        <v>19</v>
      </c>
      <c r="G74" s="35">
        <v>160</v>
      </c>
      <c r="H74" s="36">
        <f t="shared" si="1"/>
        <v>3040</v>
      </c>
      <c r="I74" s="37"/>
    </row>
    <row r="75" spans="1:9" x14ac:dyDescent="0.25">
      <c r="A75" t="s">
        <v>50</v>
      </c>
      <c r="B75" s="30">
        <v>3</v>
      </c>
      <c r="C75" s="31"/>
      <c r="D75" s="32">
        <v>0</v>
      </c>
      <c r="E75" s="33">
        <v>0</v>
      </c>
      <c r="F75" s="34">
        <f t="shared" si="2"/>
        <v>3</v>
      </c>
      <c r="G75" s="35">
        <v>200</v>
      </c>
      <c r="H75" s="36">
        <f t="shared" si="1"/>
        <v>600</v>
      </c>
      <c r="I75" s="37"/>
    </row>
    <row r="76" spans="1:9" x14ac:dyDescent="0.25">
      <c r="A76" t="s">
        <v>51</v>
      </c>
      <c r="B76" s="30">
        <v>8</v>
      </c>
      <c r="C76" s="31"/>
      <c r="D76" s="32">
        <v>0</v>
      </c>
      <c r="E76" s="33">
        <v>0</v>
      </c>
      <c r="F76" s="34">
        <f t="shared" si="2"/>
        <v>8</v>
      </c>
      <c r="G76" s="35">
        <v>200</v>
      </c>
      <c r="H76" s="36">
        <f t="shared" si="1"/>
        <v>1600</v>
      </c>
      <c r="I76" s="37"/>
    </row>
    <row r="77" spans="1:9" x14ac:dyDescent="0.25">
      <c r="A77" t="s">
        <v>44</v>
      </c>
      <c r="B77" s="30">
        <v>10</v>
      </c>
      <c r="C77" s="31"/>
      <c r="D77" s="32">
        <v>0</v>
      </c>
      <c r="E77" s="33">
        <v>0</v>
      </c>
      <c r="F77" s="34">
        <f t="shared" si="2"/>
        <v>10</v>
      </c>
      <c r="G77" s="35">
        <v>800</v>
      </c>
      <c r="H77" s="36">
        <f t="shared" si="1"/>
        <v>8000</v>
      </c>
      <c r="I77" s="37"/>
    </row>
    <row r="78" spans="1:9" x14ac:dyDescent="0.25">
      <c r="A78" t="s">
        <v>107</v>
      </c>
      <c r="B78" s="30">
        <v>6</v>
      </c>
      <c r="C78" s="31"/>
      <c r="D78" s="32">
        <v>0</v>
      </c>
      <c r="E78" s="33">
        <v>0</v>
      </c>
      <c r="F78" s="34">
        <f t="shared" si="2"/>
        <v>6</v>
      </c>
      <c r="G78" s="35">
        <v>220</v>
      </c>
      <c r="H78" s="36">
        <f t="shared" si="1"/>
        <v>1320</v>
      </c>
      <c r="I78" s="37"/>
    </row>
    <row r="79" spans="1:9" x14ac:dyDescent="0.25">
      <c r="A79" t="s">
        <v>34</v>
      </c>
      <c r="B79" s="38"/>
      <c r="C79" s="31"/>
      <c r="D79" s="32">
        <v>0</v>
      </c>
      <c r="E79" s="33">
        <v>0</v>
      </c>
      <c r="F79" s="34">
        <f t="shared" si="2"/>
        <v>0</v>
      </c>
      <c r="G79" s="35">
        <v>2300</v>
      </c>
      <c r="H79" s="36">
        <f t="shared" si="1"/>
        <v>0</v>
      </c>
      <c r="I79" s="37"/>
    </row>
    <row r="80" spans="1:9" x14ac:dyDescent="0.25">
      <c r="A80" t="s">
        <v>35</v>
      </c>
      <c r="B80" s="38"/>
      <c r="C80" s="31"/>
      <c r="D80" s="32">
        <v>0</v>
      </c>
      <c r="E80" s="33">
        <v>0</v>
      </c>
      <c r="F80" s="34">
        <f t="shared" si="2"/>
        <v>0</v>
      </c>
      <c r="G80" s="35">
        <v>2320</v>
      </c>
      <c r="H80" s="36">
        <f t="shared" ref="H80:H111" si="3">F80*G80</f>
        <v>0</v>
      </c>
      <c r="I80" s="37"/>
    </row>
    <row r="81" spans="1:19" x14ac:dyDescent="0.25">
      <c r="A81" t="s">
        <v>24</v>
      </c>
      <c r="B81" s="30">
        <v>4</v>
      </c>
      <c r="C81" s="31"/>
      <c r="D81" s="32">
        <v>0</v>
      </c>
      <c r="E81" s="33">
        <v>0</v>
      </c>
      <c r="F81" s="34">
        <f t="shared" si="2"/>
        <v>4</v>
      </c>
      <c r="G81" s="35">
        <v>2900</v>
      </c>
      <c r="H81" s="36">
        <f t="shared" si="3"/>
        <v>11600</v>
      </c>
      <c r="I81" s="37"/>
    </row>
    <row r="82" spans="1:19" x14ac:dyDescent="0.25">
      <c r="A82" t="s">
        <v>113</v>
      </c>
      <c r="B82" s="30">
        <v>15</v>
      </c>
      <c r="C82" s="31"/>
      <c r="D82" s="32">
        <v>0</v>
      </c>
      <c r="E82" s="33">
        <v>0</v>
      </c>
      <c r="F82" s="34">
        <f t="shared" si="2"/>
        <v>15</v>
      </c>
      <c r="G82" s="35">
        <v>850</v>
      </c>
      <c r="H82" s="36">
        <f t="shared" si="3"/>
        <v>12750</v>
      </c>
      <c r="I82" s="37"/>
    </row>
    <row r="83" spans="1:19" x14ac:dyDescent="0.25">
      <c r="A83" t="s">
        <v>31</v>
      </c>
      <c r="B83" s="30">
        <v>32</v>
      </c>
      <c r="C83" s="31"/>
      <c r="D83" s="32">
        <v>0</v>
      </c>
      <c r="E83" s="33">
        <v>0</v>
      </c>
      <c r="F83" s="34">
        <f t="shared" si="2"/>
        <v>32</v>
      </c>
      <c r="G83" s="35">
        <v>550</v>
      </c>
      <c r="H83" s="36">
        <f t="shared" si="3"/>
        <v>17600</v>
      </c>
      <c r="I83" s="37"/>
      <c r="L83" s="3"/>
      <c r="M83" s="3"/>
      <c r="N83" s="3"/>
      <c r="O83" s="3"/>
      <c r="P83" s="5"/>
      <c r="Q83" s="3"/>
      <c r="R83" s="3"/>
      <c r="S83" s="3"/>
    </row>
    <row r="84" spans="1:19" x14ac:dyDescent="0.25">
      <c r="A84" t="s">
        <v>46</v>
      </c>
      <c r="B84" s="38"/>
      <c r="C84" s="31"/>
      <c r="D84" s="32">
        <v>0</v>
      </c>
      <c r="E84" s="33">
        <v>0</v>
      </c>
      <c r="F84" s="34">
        <f t="shared" si="2"/>
        <v>0</v>
      </c>
      <c r="G84" s="35">
        <v>300</v>
      </c>
      <c r="H84" s="36">
        <f t="shared" si="3"/>
        <v>0</v>
      </c>
      <c r="I84" s="37"/>
    </row>
    <row r="85" spans="1:19" x14ac:dyDescent="0.25">
      <c r="A85" t="s">
        <v>111</v>
      </c>
      <c r="B85" s="38"/>
      <c r="C85" s="31"/>
      <c r="D85" s="32">
        <v>0</v>
      </c>
      <c r="E85" s="33">
        <v>0</v>
      </c>
      <c r="F85" s="34">
        <f t="shared" si="2"/>
        <v>0</v>
      </c>
      <c r="G85" s="35">
        <v>300</v>
      </c>
      <c r="H85" s="36">
        <f t="shared" si="3"/>
        <v>0</v>
      </c>
      <c r="I85" s="37"/>
    </row>
    <row r="86" spans="1:19" x14ac:dyDescent="0.25">
      <c r="A86" t="s">
        <v>55</v>
      </c>
      <c r="B86" s="30"/>
      <c r="C86" s="31"/>
      <c r="D86" s="32">
        <v>0</v>
      </c>
      <c r="E86" s="33">
        <v>0</v>
      </c>
      <c r="F86" s="34">
        <f t="shared" si="2"/>
        <v>0</v>
      </c>
      <c r="G86" s="35">
        <v>150</v>
      </c>
      <c r="H86" s="36">
        <f t="shared" si="3"/>
        <v>0</v>
      </c>
      <c r="I86" s="37"/>
    </row>
    <row r="87" spans="1:19" x14ac:dyDescent="0.25">
      <c r="A87" t="s">
        <v>54</v>
      </c>
      <c r="B87" s="30">
        <v>15</v>
      </c>
      <c r="C87" s="31"/>
      <c r="D87" s="32">
        <v>0</v>
      </c>
      <c r="E87" s="33">
        <v>0</v>
      </c>
      <c r="F87" s="34">
        <f t="shared" si="2"/>
        <v>15</v>
      </c>
      <c r="G87" s="35">
        <v>200</v>
      </c>
      <c r="H87" s="36">
        <f t="shared" si="3"/>
        <v>3000</v>
      </c>
      <c r="I87" s="37"/>
    </row>
    <row r="88" spans="1:19" x14ac:dyDescent="0.25">
      <c r="A88" t="s">
        <v>56</v>
      </c>
      <c r="B88" s="30">
        <v>21</v>
      </c>
      <c r="C88" s="31"/>
      <c r="D88" s="32">
        <v>0</v>
      </c>
      <c r="E88" s="33">
        <v>0</v>
      </c>
      <c r="F88" s="34">
        <f t="shared" si="2"/>
        <v>21</v>
      </c>
      <c r="G88" s="35">
        <v>150</v>
      </c>
      <c r="H88" s="36">
        <f t="shared" si="3"/>
        <v>3150</v>
      </c>
      <c r="I88" s="37"/>
    </row>
    <row r="89" spans="1:19" x14ac:dyDescent="0.25">
      <c r="A89" t="s">
        <v>53</v>
      </c>
      <c r="B89" s="30">
        <v>23</v>
      </c>
      <c r="C89" s="31"/>
      <c r="D89" s="32">
        <v>0</v>
      </c>
      <c r="E89" s="33">
        <v>0</v>
      </c>
      <c r="F89" s="34">
        <f t="shared" si="2"/>
        <v>23</v>
      </c>
      <c r="G89" s="35">
        <v>160</v>
      </c>
      <c r="H89" s="36">
        <f t="shared" si="3"/>
        <v>3680</v>
      </c>
      <c r="I89" s="37"/>
    </row>
    <row r="90" spans="1:19" x14ac:dyDescent="0.25">
      <c r="A90" t="s">
        <v>57</v>
      </c>
      <c r="B90" s="30">
        <v>3</v>
      </c>
      <c r="C90" s="31"/>
      <c r="D90" s="32">
        <v>0</v>
      </c>
      <c r="E90" s="33">
        <v>0</v>
      </c>
      <c r="F90" s="34">
        <f t="shared" si="2"/>
        <v>3</v>
      </c>
      <c r="G90" s="35">
        <v>220</v>
      </c>
      <c r="H90" s="36">
        <f t="shared" si="3"/>
        <v>660</v>
      </c>
      <c r="I90" s="37"/>
    </row>
    <row r="91" spans="1:19" x14ac:dyDescent="0.25">
      <c r="A91" t="s">
        <v>63</v>
      </c>
      <c r="B91" s="30">
        <v>19</v>
      </c>
      <c r="C91" s="31"/>
      <c r="D91" s="32">
        <v>0</v>
      </c>
      <c r="E91" s="33">
        <v>0</v>
      </c>
      <c r="F91" s="34">
        <f t="shared" si="2"/>
        <v>19</v>
      </c>
      <c r="G91" s="35">
        <v>850</v>
      </c>
      <c r="H91" s="36">
        <f t="shared" si="3"/>
        <v>16150</v>
      </c>
      <c r="I91" s="37"/>
    </row>
    <row r="92" spans="1:19" x14ac:dyDescent="0.25">
      <c r="A92" t="s">
        <v>64</v>
      </c>
      <c r="B92" s="38"/>
      <c r="C92" s="31"/>
      <c r="D92" s="32">
        <v>0</v>
      </c>
      <c r="E92" s="33">
        <v>0</v>
      </c>
      <c r="F92" s="34">
        <f t="shared" si="2"/>
        <v>0</v>
      </c>
      <c r="G92" s="35">
        <v>0</v>
      </c>
      <c r="H92" s="36">
        <f t="shared" si="3"/>
        <v>0</v>
      </c>
      <c r="I92" s="37"/>
    </row>
    <row r="93" spans="1:19" x14ac:dyDescent="0.25">
      <c r="A93" t="s">
        <v>74</v>
      </c>
      <c r="B93" s="38">
        <v>23.73</v>
      </c>
      <c r="C93" s="43"/>
      <c r="D93" s="32">
        <v>0</v>
      </c>
      <c r="E93" s="33">
        <v>0</v>
      </c>
      <c r="F93" s="34">
        <f t="shared" si="2"/>
        <v>23.73</v>
      </c>
      <c r="G93" s="35">
        <v>950</v>
      </c>
      <c r="H93" s="36">
        <f t="shared" si="3"/>
        <v>22543.5</v>
      </c>
      <c r="I93" s="37"/>
    </row>
    <row r="94" spans="1:19" x14ac:dyDescent="0.25">
      <c r="A94" t="s">
        <v>96</v>
      </c>
      <c r="B94" s="30">
        <v>21.25</v>
      </c>
      <c r="C94" s="31"/>
      <c r="D94" s="32">
        <v>0</v>
      </c>
      <c r="E94" s="33">
        <v>0</v>
      </c>
      <c r="F94" s="34">
        <f>B94+C94-I94</f>
        <v>21.25</v>
      </c>
      <c r="G94" s="35">
        <v>1000</v>
      </c>
      <c r="H94" s="36">
        <f t="shared" si="3"/>
        <v>21250</v>
      </c>
      <c r="I94" s="37"/>
    </row>
    <row r="95" spans="1:19" x14ac:dyDescent="0.25">
      <c r="A95" t="s">
        <v>129</v>
      </c>
      <c r="B95" s="30">
        <v>4</v>
      </c>
      <c r="C95" s="31">
        <v>6</v>
      </c>
      <c r="D95" s="32">
        <v>0</v>
      </c>
      <c r="E95" s="33">
        <v>0</v>
      </c>
      <c r="F95" s="34">
        <f t="shared" si="2"/>
        <v>10</v>
      </c>
      <c r="G95" s="35">
        <v>1000</v>
      </c>
      <c r="H95" s="36">
        <f t="shared" si="3"/>
        <v>10000</v>
      </c>
      <c r="I95" s="37"/>
    </row>
    <row r="96" spans="1:19" x14ac:dyDescent="0.25">
      <c r="A96" t="s">
        <v>128</v>
      </c>
      <c r="B96" s="30">
        <v>19</v>
      </c>
      <c r="C96" s="31"/>
      <c r="D96" s="32">
        <v>0</v>
      </c>
      <c r="E96" s="33">
        <v>0</v>
      </c>
      <c r="F96" s="34">
        <f t="shared" si="2"/>
        <v>19</v>
      </c>
      <c r="G96" s="35">
        <v>580</v>
      </c>
      <c r="H96" s="36">
        <f t="shared" si="3"/>
        <v>11020</v>
      </c>
      <c r="I96" s="37"/>
    </row>
    <row r="97" spans="1:9" x14ac:dyDescent="0.25">
      <c r="A97" t="s">
        <v>127</v>
      </c>
      <c r="B97" s="30">
        <v>78</v>
      </c>
      <c r="C97" s="31"/>
      <c r="D97" s="32">
        <v>0</v>
      </c>
      <c r="E97" s="33">
        <v>0</v>
      </c>
      <c r="F97" s="34">
        <f t="shared" si="2"/>
        <v>78</v>
      </c>
      <c r="G97" s="35">
        <v>220</v>
      </c>
      <c r="H97" s="36">
        <f t="shared" si="3"/>
        <v>17160</v>
      </c>
      <c r="I97" s="37"/>
    </row>
    <row r="98" spans="1:9" x14ac:dyDescent="0.25">
      <c r="A98" t="s">
        <v>112</v>
      </c>
      <c r="B98" s="38"/>
      <c r="C98" s="31"/>
      <c r="D98" s="32">
        <v>0</v>
      </c>
      <c r="E98" s="33">
        <v>0</v>
      </c>
      <c r="F98" s="34">
        <f t="shared" si="2"/>
        <v>0</v>
      </c>
      <c r="G98" s="35">
        <v>1300</v>
      </c>
      <c r="H98" s="36">
        <f t="shared" si="3"/>
        <v>0</v>
      </c>
      <c r="I98" s="37"/>
    </row>
    <row r="99" spans="1:9" x14ac:dyDescent="0.25">
      <c r="A99" t="s">
        <v>2</v>
      </c>
      <c r="B99" s="30">
        <v>24</v>
      </c>
      <c r="C99" s="31"/>
      <c r="D99" s="32">
        <v>0</v>
      </c>
      <c r="E99" s="33">
        <v>0</v>
      </c>
      <c r="F99" s="34">
        <f t="shared" si="2"/>
        <v>24</v>
      </c>
      <c r="G99" s="35">
        <v>580</v>
      </c>
      <c r="H99" s="36">
        <f t="shared" si="3"/>
        <v>13920</v>
      </c>
      <c r="I99" s="37"/>
    </row>
    <row r="100" spans="1:9" x14ac:dyDescent="0.25">
      <c r="A100" t="s">
        <v>104</v>
      </c>
      <c r="B100" s="30">
        <v>2</v>
      </c>
      <c r="C100" s="31"/>
      <c r="D100" s="32">
        <v>0</v>
      </c>
      <c r="E100" s="33">
        <v>0</v>
      </c>
      <c r="F100" s="34">
        <f t="shared" si="2"/>
        <v>2</v>
      </c>
      <c r="G100" s="35">
        <v>1000</v>
      </c>
      <c r="H100" s="36">
        <f t="shared" si="3"/>
        <v>2000</v>
      </c>
      <c r="I100" s="37"/>
    </row>
    <row r="101" spans="1:9" x14ac:dyDescent="0.25">
      <c r="A101" t="s">
        <v>45</v>
      </c>
      <c r="B101" s="30">
        <v>16</v>
      </c>
      <c r="C101" s="31"/>
      <c r="D101" s="32">
        <v>0</v>
      </c>
      <c r="E101" s="33">
        <v>0</v>
      </c>
      <c r="F101" s="34">
        <f t="shared" si="2"/>
        <v>16</v>
      </c>
      <c r="G101" s="35">
        <v>70</v>
      </c>
      <c r="H101" s="36">
        <f t="shared" si="3"/>
        <v>1120</v>
      </c>
      <c r="I101" s="37"/>
    </row>
    <row r="102" spans="1:9" x14ac:dyDescent="0.25">
      <c r="A102" t="s">
        <v>119</v>
      </c>
      <c r="B102" s="30">
        <v>22</v>
      </c>
      <c r="C102" s="31"/>
      <c r="D102" s="32">
        <v>0</v>
      </c>
      <c r="E102" s="33">
        <v>0</v>
      </c>
      <c r="F102" s="34">
        <f t="shared" si="2"/>
        <v>22</v>
      </c>
      <c r="G102" s="35">
        <v>850</v>
      </c>
      <c r="H102" s="36">
        <f t="shared" si="3"/>
        <v>18700</v>
      </c>
      <c r="I102" s="37"/>
    </row>
    <row r="103" spans="1:9" x14ac:dyDescent="0.25">
      <c r="A103" t="s">
        <v>1</v>
      </c>
      <c r="B103" s="30">
        <v>3</v>
      </c>
      <c r="C103" s="31"/>
      <c r="D103" s="32">
        <v>0</v>
      </c>
      <c r="E103" s="33">
        <v>0</v>
      </c>
      <c r="F103" s="34">
        <f t="shared" si="2"/>
        <v>3</v>
      </c>
      <c r="G103" s="35">
        <v>850</v>
      </c>
      <c r="H103" s="36">
        <f t="shared" si="3"/>
        <v>2550</v>
      </c>
      <c r="I103" s="37"/>
    </row>
    <row r="104" spans="1:9" x14ac:dyDescent="0.25">
      <c r="A104" t="s">
        <v>27</v>
      </c>
      <c r="B104" s="30">
        <v>14</v>
      </c>
      <c r="C104" s="31"/>
      <c r="D104" s="32">
        <v>0</v>
      </c>
      <c r="E104" s="33">
        <v>0</v>
      </c>
      <c r="F104" s="34">
        <f t="shared" si="2"/>
        <v>14</v>
      </c>
      <c r="G104" s="35">
        <v>350</v>
      </c>
      <c r="H104" s="36">
        <f t="shared" si="3"/>
        <v>4900</v>
      </c>
      <c r="I104" s="37"/>
    </row>
    <row r="105" spans="1:9" x14ac:dyDescent="0.25">
      <c r="A105" t="s">
        <v>37</v>
      </c>
      <c r="B105" s="30">
        <v>21</v>
      </c>
      <c r="C105" s="31"/>
      <c r="D105" s="32">
        <v>0</v>
      </c>
      <c r="E105" s="33">
        <v>0</v>
      </c>
      <c r="F105" s="34">
        <f t="shared" si="2"/>
        <v>21</v>
      </c>
      <c r="G105" s="35">
        <v>380</v>
      </c>
      <c r="H105" s="36">
        <f t="shared" si="3"/>
        <v>7980</v>
      </c>
      <c r="I105" s="37"/>
    </row>
    <row r="106" spans="1:9" x14ac:dyDescent="0.25">
      <c r="A106" t="s">
        <v>100</v>
      </c>
      <c r="B106" s="30">
        <v>16</v>
      </c>
      <c r="C106" s="31"/>
      <c r="D106" s="32">
        <v>0</v>
      </c>
      <c r="E106" s="33">
        <v>0</v>
      </c>
      <c r="F106" s="34">
        <f t="shared" si="2"/>
        <v>16</v>
      </c>
      <c r="G106" s="35">
        <v>400</v>
      </c>
      <c r="H106" s="36">
        <f t="shared" si="3"/>
        <v>6400</v>
      </c>
      <c r="I106" s="37"/>
    </row>
    <row r="107" spans="1:9" x14ac:dyDescent="0.25">
      <c r="A107" t="s">
        <v>80</v>
      </c>
      <c r="B107" s="30">
        <v>12</v>
      </c>
      <c r="C107" s="31"/>
      <c r="D107" s="32">
        <v>0</v>
      </c>
      <c r="E107" s="33">
        <v>0</v>
      </c>
      <c r="F107" s="34">
        <f t="shared" si="2"/>
        <v>12</v>
      </c>
      <c r="G107" s="35">
        <v>1850</v>
      </c>
      <c r="H107" s="36">
        <f t="shared" si="3"/>
        <v>22200</v>
      </c>
      <c r="I107" s="37"/>
    </row>
    <row r="108" spans="1:9" x14ac:dyDescent="0.25">
      <c r="A108" t="s">
        <v>79</v>
      </c>
      <c r="B108" s="30">
        <v>7</v>
      </c>
      <c r="C108" s="31"/>
      <c r="D108" s="32">
        <v>0</v>
      </c>
      <c r="E108" s="33">
        <v>0</v>
      </c>
      <c r="F108" s="34">
        <f t="shared" si="2"/>
        <v>7</v>
      </c>
      <c r="G108" s="35">
        <v>950</v>
      </c>
      <c r="H108" s="36">
        <f t="shared" si="3"/>
        <v>6650</v>
      </c>
      <c r="I108" s="37"/>
    </row>
    <row r="109" spans="1:9" x14ac:dyDescent="0.25">
      <c r="A109" t="s">
        <v>39</v>
      </c>
      <c r="B109" s="30">
        <v>16</v>
      </c>
      <c r="C109" s="31"/>
      <c r="D109" s="32">
        <v>0</v>
      </c>
      <c r="E109" s="33">
        <v>0</v>
      </c>
      <c r="F109" s="34">
        <f t="shared" si="2"/>
        <v>16</v>
      </c>
      <c r="G109" s="35">
        <v>650</v>
      </c>
      <c r="H109" s="36">
        <f t="shared" si="3"/>
        <v>10400</v>
      </c>
      <c r="I109" s="37"/>
    </row>
    <row r="110" spans="1:9" x14ac:dyDescent="0.25">
      <c r="A110" t="s">
        <v>16</v>
      </c>
      <c r="B110" s="38"/>
      <c r="C110" s="31"/>
      <c r="D110" s="32">
        <v>0</v>
      </c>
      <c r="E110" s="33">
        <v>0</v>
      </c>
      <c r="F110" s="34">
        <f t="shared" si="2"/>
        <v>0</v>
      </c>
      <c r="G110" s="35">
        <v>0</v>
      </c>
      <c r="H110" s="36">
        <f t="shared" si="3"/>
        <v>0</v>
      </c>
      <c r="I110" s="37"/>
    </row>
    <row r="111" spans="1:9" x14ac:dyDescent="0.25">
      <c r="A111" t="s">
        <v>28</v>
      </c>
      <c r="B111" s="30">
        <v>5</v>
      </c>
      <c r="C111" s="31"/>
      <c r="D111" s="32">
        <v>0</v>
      </c>
      <c r="E111" s="33">
        <v>0</v>
      </c>
      <c r="F111" s="34">
        <f t="shared" si="2"/>
        <v>5</v>
      </c>
      <c r="G111" s="35">
        <v>900</v>
      </c>
      <c r="H111" s="36">
        <f t="shared" si="3"/>
        <v>4500</v>
      </c>
      <c r="I111" s="37"/>
    </row>
    <row r="113" spans="1:2" ht="21" x14ac:dyDescent="0.35">
      <c r="A113" s="41" t="s">
        <v>83</v>
      </c>
      <c r="B113" s="40">
        <f>SUM(H3:H111)</f>
        <v>895763.5</v>
      </c>
    </row>
    <row r="114" spans="1:2" x14ac:dyDescent="0.25">
      <c r="B114" s="3"/>
    </row>
    <row r="116" spans="1:2" ht="21" x14ac:dyDescent="0.35">
      <c r="A116" s="4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30 sep</vt:lpstr>
      <vt:lpstr>IPV Alf. 30 sep</vt:lpstr>
      <vt:lpstr>1 oct</vt:lpstr>
      <vt:lpstr>2 oct </vt:lpstr>
      <vt:lpstr>3 oct</vt:lpstr>
      <vt:lpstr>4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Bvidalm</dc:creator>
  <cp:lastModifiedBy>Bvidalm</cp:lastModifiedBy>
  <dcterms:created xsi:type="dcterms:W3CDTF">2015-06-05T18:19:34Z</dcterms:created>
  <dcterms:modified xsi:type="dcterms:W3CDTF">2026-10-04T22:15:20Z</dcterms:modified>
</cp:coreProperties>
</file>